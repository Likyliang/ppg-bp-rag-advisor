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2e993f4fd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6bd3234b0d4f68"/>
    <x:sheet xmlns:r="http://schemas.openxmlformats.org/officeDocument/2006/relationships" name="NextDownloads" sheetId="2" r:id="R731b9753212b4b64"/>
    <x:sheet xmlns:r="http://schemas.openxmlformats.org/officeDocument/2006/relationships" name="DownloadQueue" sheetId="3" r:id="Rdb3106e404a74acb"/>
    <x:sheet xmlns:r="http://schemas.openxmlformats.org/officeDocument/2006/relationships" name="AllCandidates" sheetId="4" r:id="R4b34c587719b41bc"/>
    <x:sheet xmlns:r="http://schemas.openxmlformats.org/officeDocument/2006/relationships" name="ProFailedAndPDFs" sheetId="5" r:id="Rb808040ed8554fea"/>
    <x:sheet xmlns:r="http://schemas.openxmlformats.org/officeDocument/2006/relationships" name="LocalPDFInventory" sheetId="6" r:id="R7efe2b756efe45b0"/>
    <x:sheet xmlns:r="http://schemas.openxmlformats.org/officeDocument/2006/relationships" name="Codebook" sheetId="7" r:id="Rd2e622c2b89c41ce"/>
  </x:sheets>
</x:workbook>
</file>

<file path=xl/sharedStrings.xml><?xml version="1.0" encoding="utf-8"?>
<x:sst xmlns:x="http://schemas.openxmlformats.org/spreadsheetml/2006/main">
  <x:si>
    <x:t xml:space="preserve">PPG 血压 RAG 文献下载工作簿</x:t>
  </x:si>
  <x:si>
    <x:t xml:space="preserve">生成日期</x:t>
  </x:si>
  <x:si>
    <x:t xml:space="preserve">2026-05-20</x:t>
  </x:si>
  <x:si>
    <x:t xml:space="preserve">本地候选清单更新时间</x:t>
  </x:si>
  <x:si>
    <x:t xml:space="preserve">2026-05-16</x:t>
  </x:si>
  <x:si>
    <x:t xml:space="preserve">候选总数</x:t>
  </x:si>
  <x:si>
    <x:t xml:space="preserve">已摘要入库候选</x:t>
  </x:si>
  <x:si>
    <x:t xml:space="preserve">当前 KB source 数</x:t>
  </x:si>
  <x:si>
    <x:t xml:space="preserve">当前 chunk 数</x:t>
  </x:si>
  <x:si>
    <x:t xml:space="preserve">严格门禁是否通过</x:t>
  </x:si>
  <x:si>
    <x:t xml:space="preserve">是</x:t>
  </x:si>
  <x:si>
    <x:t xml:space="preserve">真实 query-only precision@5</x:t>
  </x:si>
  <x:si>
    <x:t xml:space="preserve">unsafe source leakage</x:t>
  </x:si>
  <x:si>
    <x:t xml:space="preserve">PDF 下载目录</x:t>
  </x:si>
  <x:si>
    <x:t xml:space="preserve">knowledge_base/sources/downloads/</x:t>
  </x:si>
  <x:si>
    <x:t xml:space="preserve">安全规则</x:t>
  </x:si>
  <x:si>
    <x:t xml:space="preserve">下载 PDF 可放本地 ignored 目录；提交时只提交 citation、中文摘要和访问记录。</x:t>
  </x:si>
  <x:si>
    <x:t xml:space="preserve">rank</x:t>
  </x:si>
  <x:si>
    <x:t xml:space="preserve">title</x:t>
  </x:si>
  <x:si>
    <x:t xml:space="preserve">why</x:t>
  </x:si>
  <x:si>
    <x:t xml:space="preserve">action</x:t>
  </x:si>
  <x:si>
    <x:t xml:space="preserve">source</x:t>
  </x:si>
  <x:si>
    <x:t xml:space="preserve">2019中国家庭血压监测指南</x:t>
  </x:si>
  <x:si>
    <x:t xml:space="preserve">直接支撑家庭血压复测频率、记录方法和家庭监测中文建议，是当前最实用的缺口之一。</x:t>
  </x:si>
  <x:si>
    <x:t xml:space="preserve">优先浏览器打开 Pro 失败链接或查找官方/期刊替代 PDF，保存为 chinese_2019_home_bp_monitoring_guideline.pdf。</x:t>
  </x:si>
  <x:si>
    <x:t xml:space="preserve">Pro 失败清单</x:t>
  </x:si>
  <x:si>
    <x:t xml:space="preserve">ESH 2023 hypertension guideline full text</x:t>
  </x:si>
  <x:si>
    <x:t xml:space="preserve">国际指南对照；可补充家庭/动态测量、特殊人群和欧洲口径。</x:t>
  </x:si>
  <x:si>
    <x:t xml:space="preserve">需要人工验证或机构浏览器访问，保存为 esh_2023_hypertension_guideline.pdf。</x:t>
  </x:si>
  <x:si>
    <x:t xml:space="preserve">fulltext_candidates</x:t>
  </x:si>
  <x:si>
    <x:t xml:space="preserve">OKAY</x:t>
  </x:si>
  <x:si>
    <x:t xml:space="preserve">ADA 2026 Standards: cardiovascular disease and risk management</x:t>
  </x:si>
  <x:si>
    <x:t xml:space="preserve">强化糖尿病特殊人群的保守提醒和用药安全边界。</x:t>
  </x:si>
  <x:si>
    <x:t xml:space="preserve">公开 HTML 已可读；如浏览器能下载 PDF，保存为 ada_2026_standards_cvd_bp.pdf。</x:t>
  </x:si>
  <x:si>
    <x:t xml:space="preserve">NO</x:t>
  </x:si>
  <x:si>
    <x:t xml:space="preserve">Self-Measured Blood Pressure Monitoring at Home: AHA/AMA policy statement</x:t>
  </x:si>
  <x:si>
    <x:t xml:space="preserve">家庭自测血压流程、政策和临床沟通价值高；适合报告复测建议。</x:t>
  </x:si>
  <x:si>
    <x:t xml:space="preserve">AHA PDF 403；用浏览器/机构访问或寻找合法官方 PDF。</x:t>
  </x:si>
  <x:si>
    <x:t xml:space="preserve">Investigating sources of inaccuracy in wearable optical heart rate sensors</x:t>
  </x:si>
  <x:si>
    <x:t xml:space="preserve">补运动、肤色、设备差异对光学传感误差的证据；只用于 signal_quality 背景。</x:t>
  </x:si>
  <x:si>
    <x:t xml:space="preserve">Nature/PMC 可能有浏览器验证；保存为 bent_2020_wearable_optical_hr_inaccuracy.pdf。</x:t>
  </x:si>
  <x:si>
    <x:t xml:space="preserve">yes</x:t>
  </x:si>
  <x:si>
    <x:t xml:space="preserve">Photoplethysmography and its application in clinical physiological measurement</x:t>
  </x:si>
  <x:si>
    <x:t xml:space="preserve">PPG 基础综述，可支撑光照、接触、传感器位置等基础解释。</x:t>
  </x:si>
  <x:si>
    <x:t xml:space="preserve">需要 IOP 或机构访问，保存为 allen_2007_ppg_clinical_measurement_review.pdf。</x:t>
  </x:si>
  <x:si>
    <x:t xml:space="preserve">PPG contact pressure / wearable PPG / ambient-light skin-tone IEEE papers</x:t>
  </x:si>
  <x:si>
    <x:t xml:space="preserve">补充接触压力、可穿戴场景、视频 PPG 光照/肤色等细粒度质量因素。</x:t>
  </x:si>
  <x:si>
    <x:t xml:space="preserve">通过 IEEE/机构访问分别下载，保存为清单指定文件名；只做研究背景摘要。</x:t>
  </x:si>
  <x:si>
    <x:t xml:space="preserve">2024 ESC Guidelines official PDF</x:t>
  </x:si>
  <x:si>
    <x:t xml:space="preserve">已有 ESC key-points，官方全文可提升国际指南完整度，但不是最急。</x:t>
  </x:si>
  <x:si>
    <x:t xml:space="preserve">OUP 403；浏览器/机构下载或保持 blocked。</x:t>
  </x:si>
  <x:si>
    <x:t xml:space="preserve">Pro 失败清单 + fulltext_candidates</x:t>
  </x:si>
  <x:si>
    <x:t xml:space="preserve">AHA PREVENT equations paper</x:t>
  </x:si>
  <x:si>
    <x:t xml:space="preserve">心血管风险评估背景；当前系统不做风险方程计算，优先级低。</x:t>
  </x:si>
  <x:si>
    <x:t xml:space="preserve">可选下载；即便入库也限制为 research_background。</x:t>
  </x:si>
  <x:si>
    <x:t xml:space="preserve">priority</x:t>
  </x:si>
  <x:si>
    <x:t xml:space="preserve">action_status</x:t>
  </x:si>
  <x:si>
    <x:t xml:space="preserve">next_action</x:t>
  </x:si>
  <x:si>
    <x:t xml:space="preserve">source_id</x:t>
  </x:si>
  <x:si>
    <x:t xml:space="preserve">organization</x:t>
  </x:si>
  <x:si>
    <x:t xml:space="preserve">year</x:t>
  </x:si>
  <x:si>
    <x:t xml:space="preserve">topic</x:t>
  </x:si>
  <x:si>
    <x:t xml:space="preserve">allowed_uses</x:t>
  </x:si>
  <x:si>
    <x:t xml:space="preserve">access_mode</x:t>
  </x:si>
  <x:si>
    <x:t xml:space="preserve">institution_required</x:t>
  </x:si>
  <x:si>
    <x:t xml:space="preserve">status</x:t>
  </x:si>
  <x:si>
    <x:t xml:space="preserve">summary_status</x:t>
  </x:si>
  <x:si>
    <x:t xml:space="preserve">local_pdf</x:t>
  </x:si>
  <x:si>
    <x:t xml:space="preserve">summary_note</x:t>
  </x:si>
  <x:si>
    <x:t xml:space="preserve">pdf_url</x:t>
  </x:si>
  <x:si>
    <x:t xml:space="preserve">landing_url</x:t>
  </x:si>
  <x:si>
    <x:t xml:space="preserve">save_as</x:t>
  </x:si>
  <x:si>
    <x:t xml:space="preserve">selection_reason</x:t>
  </x:si>
  <x:si>
    <x:t xml:space="preserve">access_instruction</x:t>
  </x:si>
  <x:si>
    <x:t xml:space="preserve">user_download_status</x:t>
  </x:si>
  <x:si>
    <x:t xml:space="preserve">user_notes</x:t>
  </x:si>
  <x:si>
    <x:t xml:space="preserve">P3</x:t>
  </x:si>
  <x:si>
    <x:t xml:space="preserve">用浏览器打开 landing_url 或寻找官方替代 PDF；若仍失败，保持 blocked。</x:t>
  </x:si>
  <x:si>
    <x:t xml:space="preserve">esc_2024_bp_guideline_key_points</x:t>
  </x:si>
  <x:si>
    <x:t xml:space="preserve">ESC 2024 elevated blood pressure and hypertension essential messages PDF</x:t>
  </x:si>
  <x:si>
    <x:t xml:space="preserve">European Society of Cardiology</x:t>
  </x:si>
  <x:si>
    <x:t xml:space="preserve">bp_categories</x:t>
  </x:si>
  <x:si>
    <x:t xml:space="preserve">bp_category_reference; home_bp_monitoring; remeasurement; special_population</x:t>
  </x:si>
  <x:si>
    <x:t xml:space="preserve">browser_required</x:t>
  </x:si>
  <x:si>
    <x:t xml:space="preserve">否</x:t>
  </x:si>
  <x:si>
    <x:t xml:space="preserve">access_blocked</x:t>
  </x:si>
  <x:si>
    <x:t xml:space="preserve">pending_fulltext</x:t>
  </x:si>
  <x:si>
    <x:t xml:space="preserve">knowledge_base/sources/downloads/esc_2024_bp_guideline_key_points.pdf</x:t>
  </x:si>
  <x:si>
    <x:t xml:space="preserve">ESC essential messages 可用于欧洲指南对照，但自动下载可能被站点防护拦截。</x:t>
  </x:si>
  <x:si>
    <x:t xml:space="preserve">2026-05-10 浏览器访问 ESC 官方 PDF 时被 Cloudflare 阻止；保留官方 URL，不使用非官方镜像。若后续人工合法打开，保存为 knowledge_base/sources/downloads/esc_2024_bp_guideline_key_points.pdf。</x:t>
  </x:si>
  <x:si>
    <x:t xml:space="preserve">P4</x:t>
  </x:si>
  <x:si>
    <x:t xml:space="preserve">打开 pdf_url 或 landing_url 下载，并按 save_as 文件名保存。</x:t>
  </x:si>
  <x:si>
    <x:t xml:space="preserve">ada_2026_standards_cvd_bp</x:t>
  </x:si>
  <x:si>
    <x:t xml:space="preserve">ADA Standards of Care in Diabetes 2026 cardiovascular disease and risk management</x:t>
  </x:si>
  <x:si>
    <x:t xml:space="preserve">American Diabetes Association</x:t>
  </x:si>
  <x:si>
    <x:t xml:space="preserve">special_population</x:t>
  </x:si>
  <x:si>
    <x:t xml:space="preserve">special_population; medication_safety; home_bp_monitoring</x:t>
  </x:si>
  <x:si>
    <x:t xml:space="preserve">public_html</x:t>
  </x:si>
  <x:si>
    <x:t xml:space="preserve">queued_manual</x:t>
  </x:si>
  <x:si>
    <x:t xml:space="preserve">knowledge_base/sources/downloads/ada_2026_standards_cvd_bp.pdf</x:t>
  </x:si>
  <x:si>
    <x:t xml:space="preserve">ADA 2026 可强化糖尿病用户的特殊人群和用药安全边界。</x:t>
  </x:si>
  <x:si>
    <x:t xml:space="preserve">公开 HTML 已可读；若用户下载 PDF/打印版，请保存为 knowledge_base/sources/downloads/ada_2026_standards_cvd_bp.pdf。</x:t>
  </x:si>
  <x:si>
    <x:t xml:space="preserve">浏览器打开来源页，处理验证码/机构登录后手动保存为指定文件名。</x:t>
  </x:si>
  <x:si>
    <x:t xml:space="preserve">esh_2023_hypertension_guideline</x:t>
  </x:si>
  <x:si>
    <x:t xml:space="preserve">ESH 2023 arterial hypertension guideline full text</x:t>
  </x:si>
  <x:si>
    <x:t xml:space="preserve">European Society of Hypertension</x:t>
  </x:si>
  <x:si>
    <x:t xml:space="preserve">home_bp_monitoring</x:t>
  </x:si>
  <x:si>
    <x:t xml:space="preserve">home_bp_monitoring; remeasurement; special_population</x:t>
  </x:si>
  <x:si>
    <x:t xml:space="preserve">institution_or_browser</x:t>
  </x:si>
  <x:si>
    <x:t xml:space="preserve">awaiting_human_verification</x:t>
  </x:si>
  <x:si>
    <x:t xml:space="preserve">knowledge_base/sources/downloads/esh_2023_hypertension_guideline.pdf</x:t>
  </x:si>
  <x:si>
    <x:t xml:space="preserve">ESH 2023 全文适合做欧洲指南对照和特殊人群保守提醒，但不需要作为急症或用药唯一来源。</x:t>
  </x:si>
  <x:si>
    <x:t xml:space="preserve">2026-05-10 通过 ESH 官方页面进入 LWW 全文页时触发 Cloudflare 人机验证；需用户本人完成验证或机构登录后再继续，保存为 knowledge_base/sources/downloads/esh_2023_hypertension_guideline.pdf。</x:t>
  </x:si>
  <x:si>
    <x:t xml:space="preserve">P5</x:t>
  </x:si>
  <x:si>
    <x:t xml:space="preserve">优先用浏览器或机构会话下载；不要保存账号、cookie 或 token。</x:t>
  </x:si>
  <x:si>
    <x:t xml:space="preserve">shirbani_2020_ambient_light_skin_tone_vpg</x:t>
  </x:si>
  <x:si>
    <x:t xml:space="preserve">Effect of Ambient Lighting and Skin Tone on Estimation of Heart Rate and Pulse Transit Time from Video Plethysmography</x:t>
  </x:si>
  <x:si>
    <x:t xml:space="preserve">IEEE EMBC</x:t>
  </x:si>
  <x:si>
    <x:t xml:space="preserve">measurement_quality</x:t>
  </x:si>
  <x:si>
    <x:t xml:space="preserve">signal_quality; research_background</x:t>
  </x:si>
  <x:si>
    <x:t xml:space="preserve">knowledge_base/sources/downloads/shirbani_2020_ambient_light_skin_tone_vpg.pdf</x:t>
  </x:si>
  <x:si>
    <x:t xml:space="preserve">摄像头/视频 PPG 中环境光和肤色影响的直接候选，可补强光照与肤色提示。</x:t>
  </x:si>
  <x:si>
    <x:t xml:space="preserve">若用户可通过 IEEE 或机构页面下载 PDF，请保存为 knowledge_base/sources/downloads/shirbani_2020_ambient_light_skin_tone_vpg.pdf，并只提交中文摘要。</x:t>
  </x:si>
  <x:si>
    <x:t xml:space="preserve">bent_2020_wearable_optical_hr_inaccuracy</x:t>
  </x:si>
  <x:si>
    <x:t xml:space="preserve">npj Digital Medicine</x:t>
  </x:si>
  <x:si>
    <x:t xml:space="preserve">knowledge_base/sources/downloads/bent_2020_wearable_optical_hr_inaccuracy.pdf</x:t>
  </x:si>
  <x:si>
    <x:t xml:space="preserve">可穿戴光学心率传感器误差来源研究，可补充运动、肤色、设备差异和活动状态的光学质量背景。</x:t>
  </x:si>
  <x:si>
    <x:t xml:space="preserve">公开 HTML/PDF 可读；若用户下载 PDF，请保存为 knowledge_base/sources/downloads/bent_2020_wearable_optical_hr_inaccuracy.pdf；入库只写摘要。</x:t>
  </x:si>
  <x:si>
    <x:t xml:space="preserve">allen_2007_ppg_clinical_measurement_review</x:t>
  </x:si>
  <x:si>
    <x:t xml:space="preserve">Physiological Measurement</x:t>
  </x:si>
  <x:si>
    <x:t xml:space="preserve">signal_quality; cuffless_ppg_limitations; remeasurement; research_background</x:t>
  </x:si>
  <x:si>
    <x:t xml:space="preserve">knowledge_base/sources/downloads/allen_2007_ppg_clinical_measurement_review.pdf</x:t>
  </x:si>
  <x:si>
    <x:t xml:space="preserve">PPG 基础综述，可支持运动、光照、接触和传感器位置等采集质量解释。</x:t>
  </x:si>
  <x:si>
    <x:t xml:space="preserve">若用户后续可通过机构或出版社页面获取 PDF，请保存为 knowledge_base/sources/downloads/allen_2007_ppg_clinical_measurement_review.pdf，并只提交中文摘要。</x:t>
  </x:si>
  <x:si>
    <x:t xml:space="preserve">chandrasekhar_2020_contact_pressure_cuffless_bp</x:t>
  </x:si>
  <x:si>
    <x:t xml:space="preserve">PPG Sensor Contact Pressure Should Be Taken Into Account for Cuff-Less Blood Pressure Measurement</x:t>
  </x:si>
  <x:si>
    <x:t xml:space="preserve">IEEE Transactions on Biomedical Engineering</x:t>
  </x:si>
  <x:si>
    <x:t xml:space="preserve">signal_quality; cuffless_ppg_limitations; research_background</x:t>
  </x:si>
  <x:si>
    <x:t xml:space="preserve">knowledge_base/sources/downloads/chandrasekhar_2020_contact_pressure_cuffless_bp.pdf</x:t>
  </x:si>
  <x:si>
    <x:t xml:space="preserve">直接讨论 PPG 接触压力对无袖带血压测量的影响，是 contact_pressure 的高相关研究候选。</x:t>
  </x:si>
  <x:si>
    <x:t xml:space="preserve">若用户可通过 IEEE 或机构页面下载 PDF，请保存为 knowledge_base/sources/downloads/chandrasekhar_2020_contact_pressure_cuffless_bp.pdf，并只提交中文摘要。</x:t>
  </x:si>
  <x:si>
    <x:t xml:space="preserve">teng_2004_contact_force_ppg</x:t>
  </x:si>
  <x:si>
    <x:t xml:space="preserve">The effect of contacting force on photoplethysmographic signals</x:t>
  </x:si>
  <x:si>
    <x:t xml:space="preserve">knowledge_base/sources/downloads/teng_2004_contact_force_ppg.pdf</x:t>
  </x:si>
  <x:si>
    <x:t xml:space="preserve">接触压力对 PPG 波形影响的经典研究，可支持“过松/过紧都会影响信号”。</x:t>
  </x:si>
  <x:si>
    <x:t xml:space="preserve">若用户后续可通过机构或出版社页面获取 PDF，请保存为 knowledge_base/sources/downloads/teng_2004_contact_force_ppg.pdf，并只提交中文摘要。</x:t>
  </x:si>
  <x:si>
    <x:t xml:space="preserve">charlton_2022_wearable_ppg_cardiovascular_review</x:t>
  </x:si>
  <x:si>
    <x:t xml:space="preserve">Wearable Photoplethysmography for Cardiovascular Monitoring</x:t>
  </x:si>
  <x:si>
    <x:t xml:space="preserve">Proceedings of the IEEE</x:t>
  </x:si>
  <x:si>
    <x:t xml:space="preserve">knowledge_base/sources/downloads/charlton_2022_wearable_ppg_cardiovascular_review.pdf</x:t>
  </x:si>
  <x:si>
    <x:t xml:space="preserve">可穿戴 PPG 心血管监测综述，可补充真实世界佩戴、运动、位置和接触质量限制。</x:t>
  </x:si>
  <x:si>
    <x:t xml:space="preserve">若用户可通过 IEEE 或机构页面下载 PDF，请保存为 knowledge_base/sources/downloads/charlton_2022_wearable_ppg_cardiovascular_review.pdf，并只提交中文摘要。</x:t>
  </x:si>
  <x:si>
    <x:t xml:space="preserve">candidate_id</x:t>
  </x:si>
  <x:si>
    <x:t xml:space="preserve">include_in_summary</x:t>
  </x:si>
  <x:si>
    <x:t xml:space="preserve">local_pdf_name</x:t>
  </x:si>
  <x:si>
    <x:t xml:space="preserve">last_accessed</x:t>
  </x:si>
  <x:si>
    <x:t xml:space="preserve">P1</x:t>
  </x:si>
  <x:si>
    <x:t xml:space="preserve">已摘要入库</x:t>
  </x:si>
  <x:si>
    <x:t xml:space="preserve">aha_cuffless_bp_scientific_statement</x:t>
  </x:si>
  <x:si>
    <x:t xml:space="preserve">aha_cuffless_bp_statement_fulltext</x:t>
  </x:si>
  <x:si>
    <x:t xml:space="preserve">AHA cuffless blood pressure scientific statement full text</x:t>
  </x:si>
  <x:si>
    <x:t xml:space="preserve">cuffless_ppg_limitations</x:t>
  </x:si>
  <x:si>
    <x:t xml:space="preserve">cuffless_ppg_limitations; device_advice; signal_quality; research_background</x:t>
  </x:si>
  <x:si>
    <x:t xml:space="preserve">summarized</x:t>
  </x:si>
  <x:si>
    <x:t xml:space="preserve">ready</x:t>
  </x:si>
  <x:si>
    <x:t xml:space="preserve">aha_cuffless_bp_scientific_statement.pdf</x:t>
  </x:si>
  <x:si>
    <x:t xml:space="preserve">knowledge_base/sources/downloads/aha_cuffless_bp_scientific_statement.pdf</x:t>
  </x:si>
  <x:si>
    <x:t xml:space="preserve">2026-05-10</x:t>
  </x:si>
  <x:si>
    <x:t xml:space="preserve">chinese_hypertension_guideline_2024_catalog</x:t>
  </x:si>
  <x:si>
    <x:t xml:space="preserve">chinese_hypertension_2024_fulltext</x:t>
  </x:si>
  <x:si>
    <x:t xml:space="preserve">Chinese Guidelines for the Prevention and Treatment of Hypertension 2024 revision full text</x:t>
  </x:si>
  <x:si>
    <x:t xml:space="preserve">bp_category_reference; home_bp_monitoring; remeasurement; lifestyle; special_population</x:t>
  </x:si>
  <x:si>
    <x:t xml:space="preserve">chinese_hypertension_guideline_2024_catalog.pdf</x:t>
  </x:si>
  <x:si>
    <x:t xml:space="preserve">knowledge_base/sources/downloads/chinese_hypertension_guideline_2024_catalog.pdf</x:t>
  </x:si>
  <x:si>
    <x:t xml:space="preserve">P2</x:t>
  </x:si>
  <x:si>
    <x:t xml:space="preserve">acc_aha_2025_full_guideline_record</x:t>
  </x:si>
  <x:si>
    <x:t xml:space="preserve">acc_aha_2025_guideline_fulltext</x:t>
  </x:si>
  <x:si>
    <x:t xml:space="preserve">2025 AHA ACC adult high blood pressure guideline full text</x:t>
  </x:si>
  <x:si>
    <x:t xml:space="preserve">acc_aha_2025_full_guideline_record.pdf</x:t>
  </x:si>
  <x:si>
    <x:t xml:space="preserve">knowledge_base/sources/downloads/acc_aha_2025_full_guideline_record.pdf</x:t>
  </x:si>
  <x:si>
    <x:t xml:space="preserve">aha_home_bp_measurement_instructions</x:t>
  </x:si>
  <x:si>
    <x:t xml:space="preserve">aha_home_bp_measurement_instructions_pdf</x:t>
  </x:si>
  <x:si>
    <x:t xml:space="preserve">Home Blood Pressure Measurement Instructions</x:t>
  </x:si>
  <x:si>
    <x:t xml:space="preserve">home_bp_monitoring; remeasurement; device_advice</x:t>
  </x:si>
  <x:si>
    <x:t xml:space="preserve">public_pdf</x:t>
  </x:si>
  <x:si>
    <x:t xml:space="preserve">aha_home_bp_measurement_instructions.pdf</x:t>
  </x:si>
  <x:si>
    <x:t xml:space="preserve">knowledge_base/sources/downloads/aha_home_bp_measurement_instructions.pdf</x:t>
  </x:si>
  <x:si>
    <x:t xml:space="preserve">2026-05-11</x:t>
  </x:si>
  <x:si>
    <x:t xml:space="preserve">fda_cuffless_nibp_draft_guidance</x:t>
  </x:si>
  <x:si>
    <x:t xml:space="preserve">fda_cuffless_nibp_draft_guidance_pdf</x:t>
  </x:si>
  <x:si>
    <x:t xml:space="preserve">FDA cuffless NIBP clinical performance testing draft guidance PDF</x:t>
  </x:si>
  <x:si>
    <x:t xml:space="preserve">fda_cuffless_nibp_draft_guidance.pdf</x:t>
  </x:si>
  <x:si>
    <x:t xml:space="preserve">knowledge_base/sources/downloads/fda_cuffless_nibp_draft_guidance.pdf</x:t>
  </x:si>
  <x:si>
    <x:t xml:space="preserve">nhc_2025_primary_care_hypertension_standard_ws_t_872</x:t>
  </x:si>
  <x:si>
    <x:t xml:space="preserve">nhc_2025_primary_care_hypertension_standard_pdf</x:t>
  </x:si>
  <x:si>
    <x:t xml:space="preserve">基层医疗卫生机构高血压防治管理标准 WS/T 872-2025</x:t>
  </x:si>
  <x:si>
    <x:t xml:space="preserve">home_bp_monitoring; remeasurement; lifestyle; special_population</x:t>
  </x:si>
  <x:si>
    <x:t xml:space="preserve">nhc_2025_primary_care_hypertension_standard_ws_t_872.pdf</x:t>
  </x:si>
  <x:si>
    <x:t xml:space="preserve">knowledge_base/sources/downloads/nhc_2025_primary_care_hypertension_standard_ws_t_872.pdf</x:t>
  </x:si>
  <x:si>
    <x:t xml:space="preserve">aha_pregnancy_blood_pressure_categories</x:t>
  </x:si>
  <x:si>
    <x:t xml:space="preserve">aha_pregnancy_bp_categories_pdf</x:t>
  </x:si>
  <x:si>
    <x:t xml:space="preserve">Blood Pressure Categories for Individuals who are Pregnant</x:t>
  </x:si>
  <x:si>
    <x:t xml:space="preserve">special_population; emergency_alert; remeasurement</x:t>
  </x:si>
  <x:si>
    <x:t xml:space="preserve">aha_pregnancy_blood_pressure_categories.pdf</x:t>
  </x:si>
  <x:si>
    <x:t xml:space="preserve">knowledge_base/sources/downloads/aha_pregnancy_blood_pressure_categories.pdf</x:t>
  </x:si>
  <x:si>
    <x:t xml:space="preserve">aha_reduce_high_blood_pressure_answers_by_heart</x:t>
  </x:si>
  <x:si>
    <x:t xml:space="preserve">aha_reduce_high_blood_pressure_pdf</x:t>
  </x:si>
  <x:si>
    <x:t xml:space="preserve">How Can I Lower High Blood Pressure?</x:t>
  </x:si>
  <x:si>
    <x:t xml:space="preserve">lifestyle</x:t>
  </x:si>
  <x:si>
    <x:t xml:space="preserve">aha_reduce_high_blood_pressure_answers_by_heart.pdf</x:t>
  </x:si>
  <x:si>
    <x:t xml:space="preserve">knowledge_base/sources/downloads/aha_reduce_high_blood_pressure_answers_by_heart.pdf</x:t>
  </x:si>
  <x:si>
    <x:t xml:space="preserve">aha_steps_to_improve_high_bp</x:t>
  </x:si>
  <x:si>
    <x:t xml:space="preserve">aha_steps_to_improve_high_bp_pdf</x:t>
  </x:si>
  <x:si>
    <x:t xml:space="preserve">Simple Steps to Improve Your High Blood Pressure</x:t>
  </x:si>
  <x:si>
    <x:t xml:space="preserve">aha_steps_to_improve_high_bp.pdf</x:t>
  </x:si>
  <x:si>
    <x:t xml:space="preserve">knowledge_base/sources/downloads/aha_steps_to_improve_high_bp.pdf</x:t>
  </x:si>
  <x:si>
    <x:t xml:space="preserve">chinese_2011_bp_measurement_guideline</x:t>
  </x:si>
  <x:si>
    <x:t xml:space="preserve">chinese_2011_bp_measurement_guideline_pdf</x:t>
  </x:si>
  <x:si>
    <x:t xml:space="preserve">中国血压测量指南</x:t>
  </x:si>
  <x:si>
    <x:t xml:space="preserve">chinese_2011_bp_measurement_guideline.pdf</x:t>
  </x:si>
  <x:si>
    <x:t xml:space="preserve">knowledge_base/sources/downloads/chinese_2011_bp_measurement_guideline.pdf</x:t>
  </x:si>
  <x:si>
    <x:t xml:space="preserve">chinese_2023_elderly_hypertension_management_guideline</x:t>
  </x:si>
  <x:si>
    <x:t xml:space="preserve">chinese_2023_elderly_hypertension_management_pdf</x:t>
  </x:si>
  <x:si>
    <x:t xml:space="preserve">中国老年高血压管理指南2023</x:t>
  </x:si>
  <x:si>
    <x:t xml:space="preserve">special_population; home_bp_monitoring; remeasurement; medication_safety</x:t>
  </x:si>
  <x:si>
    <x:t xml:space="preserve">chinese_2023_elderly_hypertension_management_guideline.pdf</x:t>
  </x:si>
  <x:si>
    <x:t xml:space="preserve">knowledge_base/sources/downloads/chinese_2023_elderly_hypertension_management_guideline.pdf</x:t>
  </x:si>
  <x:si>
    <x:t xml:space="preserve">esc_2024_essential_messages_pdf</x:t>
  </x:si>
  <x:si>
    <x:t xml:space="preserve">nhc_2024_hypertension_nutrition_exercise_guidance</x:t>
  </x:si>
  <x:si>
    <x:t xml:space="preserve">nhc_2024_hypertension_nutrition_exercise_pdf</x:t>
  </x:si>
  <x:si>
    <x:t xml:space="preserve">高血压营养和运动指导原则 2024 PDF</x:t>
  </x:si>
  <x:si>
    <x:t xml:space="preserve">lifestyle; special_population; home_bp_monitoring</x:t>
  </x:si>
  <x:si>
    <x:t xml:space="preserve">nhc_2024_hypertension_nutrition_exercise_guidance.pdf</x:t>
  </x:si>
  <x:si>
    <x:t xml:space="preserve">knowledge_base/sources/downloads/nhc_2024_hypertension_nutrition_exercise_guidance.pdf</x:t>
  </x:si>
  <x:si>
    <x:t xml:space="preserve">nhlbi_dash_lowering_blood_pressure_guide</x:t>
  </x:si>
  <x:si>
    <x:t xml:space="preserve">nhlbi_dash_lowering_blood_pressure_pdf</x:t>
  </x:si>
  <x:si>
    <x:t xml:space="preserve">Your Guide to Lowering Your Blood Pressure with DASH</x:t>
  </x:si>
  <x:si>
    <x:t xml:space="preserve">nhlbi_dash_lowering_blood_pressure_guide.pdf</x:t>
  </x:si>
  <x:si>
    <x:t xml:space="preserve">knowledge_base/sources/downloads/nhlbi_dash_lowering_blood_pressure_guide.pdf</x:t>
  </x:si>
  <x:si>
    <x:t xml:space="preserve">nice_ng136_hypertension</x:t>
  </x:si>
  <x:si>
    <x:t xml:space="preserve">nice_ng136_public_html_fulltext</x:t>
  </x:si>
  <x:si>
    <x:t xml:space="preserve">NICE NG136 public recommendations full-text page</x:t>
  </x:si>
  <x:si>
    <x:t xml:space="preserve">home_bp_monitoring; remeasurement; bp_category_reference</x:t>
  </x:si>
  <x:si>
    <x:t xml:space="preserve">nice_ng136_hypertension.pdf</x:t>
  </x:si>
  <x:si>
    <x:t xml:space="preserve">knowledge_base/sources/downloads/nice_ng136_hypertension.pdf</x:t>
  </x:si>
  <x:si>
    <x:t xml:space="preserve">uspstf_hypertension_screening_adults</x:t>
  </x:si>
  <x:si>
    <x:t xml:space="preserve">uspstf_hypertension_screening_fulltext</x:t>
  </x:si>
  <x:si>
    <x:t xml:space="preserve">USPSTF hypertension in adults screening recommendation</x:t>
  </x:si>
  <x:si>
    <x:t xml:space="preserve">home_bp_monitoring; remeasurement; bp_category_reference; disclaimer</x:t>
  </x:si>
  <x:si>
    <x:t xml:space="preserve">uspstf_hypertension_screening_adults.pdf</x:t>
  </x:si>
  <x:si>
    <x:t xml:space="preserve">knowledge_base/sources/downloads/uspstf_hypertension_screening_adults.pdf</x:t>
  </x:si>
  <x:si>
    <x:t xml:space="preserve">who_automated_cuff_bp_device_specs</x:t>
  </x:si>
  <x:si>
    <x:t xml:space="preserve">who_automated_cuff_bp_device_specs_publication</x:t>
  </x:si>
  <x:si>
    <x:t xml:space="preserve">WHO automated cuff blood pressure device technical specifications publication</x:t>
  </x:si>
  <x:si>
    <x:t xml:space="preserve">validated_devices</x:t>
  </x:si>
  <x:si>
    <x:t xml:space="preserve">device_advice; home_bp_monitoring; signal_quality; research_background</x:t>
  </x:si>
  <x:si>
    <x:t xml:space="preserve">public_landing</x:t>
  </x:si>
  <x:si>
    <x:t xml:space="preserve">who_automated_cuff_bp_device_specs.pdf</x:t>
  </x:si>
  <x:si>
    <x:t xml:space="preserve">knowledge_base/sources/downloads/who_automated_cuff_bp_device_specs.pdf</x:t>
  </x:si>
  <x:si>
    <x:t xml:space="preserve">ada_2026_standards_cvd_bp_fulltext</x:t>
  </x:si>
  <x:si>
    <x:t xml:space="preserve">aha_life_essential_8_manage_blood_pressure</x:t>
  </x:si>
  <x:si>
    <x:t xml:space="preserve">aha_life_essential_8_bp_pdf</x:t>
  </x:si>
  <x:si>
    <x:t xml:space="preserve">Life's Essential 8 - How to Manage Blood Pressure</x:t>
  </x:si>
  <x:si>
    <x:t xml:space="preserve">aha_life_essential_8_manage_blood_pressure.pdf</x:t>
  </x:si>
  <x:si>
    <x:t xml:space="preserve">knowledge_base/sources/downloads/aha_life_essential_8_manage_blood_pressure.pdf</x:t>
  </x:si>
  <x:si>
    <x:t xml:space="preserve">cdc_managing_my_blood_pressure_questions</x:t>
  </x:si>
  <x:si>
    <x:t xml:space="preserve">cdc_managing_my_blood_pressure_questions_pdf</x:t>
  </x:si>
  <x:si>
    <x:t xml:space="preserve">Managing My Blood Pressure - Questions to Ask My Doctor</x:t>
  </x:si>
  <x:si>
    <x:t xml:space="preserve">home_bp_monitoring; lifestyle; disclaimer</x:t>
  </x:si>
  <x:si>
    <x:t xml:space="preserve">cdc_managing_my_blood_pressure_questions.pdf</x:t>
  </x:si>
  <x:si>
    <x:t xml:space="preserve">knowledge_base/sources/downloads/cdc_managing_my_blood_pressure_questions.pdf</x:t>
  </x:si>
  <x:si>
    <x:t xml:space="preserve">chinese_2013_hypertension_patient_education_guideline</x:t>
  </x:si>
  <x:si>
    <x:t xml:space="preserve">chinese_2013_hypertension_patient_education_pdf</x:t>
  </x:si>
  <x:si>
    <x:t xml:space="preserve">中国高血压患者教育指南</x:t>
  </x:si>
  <x:si>
    <x:t xml:space="preserve">lifestyle; home_bp_monitoring; disclaimer</x:t>
  </x:si>
  <x:si>
    <x:t xml:space="preserve">chinese_2013_hypertension_patient_education_guideline.pdf</x:t>
  </x:si>
  <x:si>
    <x:t xml:space="preserve">knowledge_base/sources/downloads/chinese_2013_hypertension_patient_education_guideline.pdf</x:t>
  </x:si>
  <x:si>
    <x:t xml:space="preserve">esh_2023_guideline_fulltext</x:t>
  </x:si>
  <x:si>
    <x:t xml:space="preserve">ish_2020_global_guideline</x:t>
  </x:si>
  <x:si>
    <x:t xml:space="preserve">ish_2020_public_pdf</x:t>
  </x:si>
  <x:si>
    <x:t xml:space="preserve">ISH 2020 global hypertension practice guideline public PDF</x:t>
  </x:si>
  <x:si>
    <x:t xml:space="preserve">downloadable</x:t>
  </x:si>
  <x:si>
    <x:t xml:space="preserve">ish_2020_global_guideline.pdf</x:t>
  </x:si>
  <x:si>
    <x:t xml:space="preserve">knowledge_base/sources/downloads/ish_2020_global_guideline.pdf</x:t>
  </x:si>
  <x:si>
    <x:t xml:space="preserve">kdigo_2024_ckd_guideline</x:t>
  </x:si>
  <x:si>
    <x:t xml:space="preserve">kdigo_2024_ckd_guideline_pdf</x:t>
  </x:si>
  <x:si>
    <x:t xml:space="preserve">KDIGO 2024 CKD guideline PDF</x:t>
  </x:si>
  <x:si>
    <x:t xml:space="preserve">kdigo_2024_ckd_guideline.pdf</x:t>
  </x:si>
  <x:si>
    <x:t xml:space="preserve">knowledge_base/sources/downloads/kdigo_2024_ckd_guideline.pdf</x:t>
  </x:si>
  <x:si>
    <x:t xml:space="preserve">who_2021_hypertension_pharmacological_treatment_guideline</x:t>
  </x:si>
  <x:si>
    <x:t xml:space="preserve">who_2021_hypertension_pharmacological_treatment_pdf</x:t>
  </x:si>
  <x:si>
    <x:t xml:space="preserve">Guideline for the pharmacological treatment of hypertension in adults</x:t>
  </x:si>
  <x:si>
    <x:t xml:space="preserve">medication_safety</x:t>
  </x:si>
  <x:si>
    <x:t xml:space="preserve">medication_safety; special_population; home_bp_monitoring</x:t>
  </x:si>
  <x:si>
    <x:t xml:space="preserve">who_2021_hypertension_pharmacological_treatment_guideline.pdf</x:t>
  </x:si>
  <x:si>
    <x:t xml:space="preserve">knowledge_base/sources/downloads/who_2021_hypertension_pharmacological_treatment_guideline.pdf</x:t>
  </x:si>
  <x:si>
    <x:t xml:space="preserve">allen_2007_ppg_clinical_measurement_fulltext</x:t>
  </x:si>
  <x:si>
    <x:t xml:space="preserve">bent_2020_wearable_optical_hr_inaccuracy_fulltext</x:t>
  </x:si>
  <x:si>
    <x:t xml:space="preserve">chandrasekhar_2020_contact_pressure_cuffless_bp_fulltext</x:t>
  </x:si>
  <x:si>
    <x:t xml:space="preserve">charlton_2022_ppg_best_practices</x:t>
  </x:si>
  <x:si>
    <x:t xml:space="preserve">charlton_2022_ppg_best_practices_fulltext</x:t>
  </x:si>
  <x:si>
    <x:t xml:space="preserve">Establishing best practices in photoplethysmography signal acquisition and processing</x:t>
  </x:si>
  <x:si>
    <x:t xml:space="preserve">signal_quality; remeasurement; research_background</x:t>
  </x:si>
  <x:si>
    <x:t xml:space="preserve">charlton_2022_ppg_best_practices.pdf</x:t>
  </x:si>
  <x:si>
    <x:t xml:space="preserve">knowledge_base/sources/downloads/charlton_2022_ppg_best_practices.pdf</x:t>
  </x:si>
  <x:si>
    <x:t xml:space="preserve">charlton_2022_wearable_ppg_cardiovascular_fulltext</x:t>
  </x:si>
  <x:si>
    <x:t xml:space="preserve">charlton_2023_wearable_ppg_roadmap</x:t>
  </x:si>
  <x:si>
    <x:t xml:space="preserve">charlton_2023_wearable_ppg_roadmap_fulltext</x:t>
  </x:si>
  <x:si>
    <x:t xml:space="preserve">The 2023 wearable photoplethysmography roadmap</x:t>
  </x:si>
  <x:si>
    <x:t xml:space="preserve">signal_quality; cuffless_ppg_limitations; device_advice; research_background</x:t>
  </x:si>
  <x:si>
    <x:t xml:space="preserve">charlton_2023_wearable_ppg_roadmap.pdf</x:t>
  </x:si>
  <x:si>
    <x:t xml:space="preserve">knowledge_base/sources/downloads/charlton_2023_wearable_ppg_roadmap.pdf</x:t>
  </x:si>
  <x:si>
    <x:t xml:space="preserve">charlton_2025_wrist_ppg_signal_quality</x:t>
  </x:si>
  <x:si>
    <x:t xml:space="preserve">charlton_2025_wrist_ppg_signal_quality_pdf</x:t>
  </x:si>
  <x:si>
    <x:t xml:space="preserve">Determinants of photoplethysmography signal quality at the wrist</x:t>
  </x:si>
  <x:si>
    <x:t xml:space="preserve">charlton_2025_wrist_ppg_signal_quality.pdf</x:t>
  </x:si>
  <x:si>
    <x:t xml:space="preserve">knowledge_base/sources/downloads/charlton_2025_wrist_ppg_signal_quality.pdf</x:t>
  </x:si>
  <x:si>
    <x:t xml:space="preserve">desquins_2022_ppg_quality_assessment_survey</x:t>
  </x:si>
  <x:si>
    <x:t xml:space="preserve">desquins_2022_ppg_quality_assessment_survey_pdf</x:t>
  </x:si>
  <x:si>
    <x:t xml:space="preserve">A Survey of Photoplethysmography and Imaging Photoplethysmography Quality Assessment Methods</x:t>
  </x:si>
  <x:si>
    <x:t xml:space="preserve">desquins_2022_ppg_quality_assessment_survey.pdf</x:t>
  </x:si>
  <x:si>
    <x:t xml:space="preserve">knowledge_base/sources/downloads/desquins_2022_ppg_quality_assessment_survey.pdf</x:t>
  </x:si>
  <x:si>
    <x:t xml:space="preserve">shirbani_2020_ambient_light_skin_tone_vpg_fulltext</x:t>
  </x:si>
  <x:si>
    <x:t xml:space="preserve">stride_bp_validated_devices</x:t>
  </x:si>
  <x:si>
    <x:t xml:space="preserve">stride_bp_validated_devices_public_registry</x:t>
  </x:si>
  <x:si>
    <x:t xml:space="preserve">STRIDE BP validated devices registry review</x:t>
  </x:si>
  <x:si>
    <x:t xml:space="preserve">device_advice; home_bp_monitoring</x:t>
  </x:si>
  <x:si>
    <x:t xml:space="preserve">knowledge_base/sources/downloads/stride_bp_validated_devices.pdf</x:t>
  </x:si>
  <x:si>
    <x:t xml:space="preserve">teng_2004_contact_force_ppg_fulltext</x:t>
  </x:si>
  <x:si>
    <x:t xml:space="preserve">P6</x:t>
  </x:si>
  <x:si>
    <x:t xml:space="preserve">chinese_2025_secondary_hypertension_screening_consensus</x:t>
  </x:si>
  <x:si>
    <x:t xml:space="preserve">chinese_2025_secondary_hypertension_screening_pdf</x:t>
  </x:si>
  <x:si>
    <x:t xml:space="preserve">继发性高血压筛查和诊断中国专家共识</x:t>
  </x:si>
  <x:si>
    <x:t xml:space="preserve">special_population; home_bp_monitoring; disclaimer</x:t>
  </x:si>
  <x:si>
    <x:t xml:space="preserve">chinese_2025_secondary_hypertension_screening_consensus.pdf</x:t>
  </x:si>
  <x:si>
    <x:t xml:space="preserve">knowledge_base/sources/downloads/chinese_2025_secondary_hypertension_screening_consensus.pdf</x:t>
  </x:si>
  <x:si>
    <x:t xml:space="preserve">仅记录元数据</x:t>
  </x:si>
  <x:si>
    <x:t xml:space="preserve">iso_81060_2_validation_standard</x:t>
  </x:si>
  <x:si>
    <x:t xml:space="preserve">iso_81060_2_record_only</x:t>
  </x:si>
  <x:si>
    <x:t xml:space="preserve">ISO 81060-2 validation standard metadata record</x:t>
  </x:si>
  <x:si>
    <x:t xml:space="preserve">device_advice; research_background</x:t>
  </x:si>
  <x:si>
    <x:t xml:space="preserve">metadata_only_paid_standard</x:t>
  </x:si>
  <x:si>
    <x:t xml:space="preserve">metadata_only</x:t>
  </x:si>
  <x:si>
    <x:t xml:space="preserve">knowledge_base/sources/downloads/iso_81060_2_validation_standard.pdf</x:t>
  </x:si>
  <x:si>
    <x:t xml:space="preserve">row</x:t>
  </x:si>
  <x:si>
    <x:t xml:space="preserve">category</x:t>
  </x:si>
  <x:si>
    <x:t xml:space="preserve">reason</x:t>
  </x:si>
  <x:si>
    <x:t xml:space="preserve">url</x:t>
  </x:si>
  <x:si>
    <x:t xml:space="preserve">already_in_candidates</x:t>
  </x:si>
  <x:si>
    <x:t xml:space="preserve">recommended_handling</x:t>
  </x:si>
  <x:si>
    <x:t xml:space="preserve">P0 必须</x:t>
  </x:si>
  <x:si>
    <x:t xml:space="preserve">中国核心指南</x:t>
  </x:si>
  <x:si>
    <x:t xml:space="preserve">中国高血压防治指南（2024年修订版）</x:t>
  </x:si>
  <x:si>
    <x:t xml:space="preserve">2024</x:t>
  </x:si>
  <x:si>
    <x:t xml:space="preserve">knowledge_base/sources/downloads/chinese_hypertension_guideline_2024_revision_chl_bha.pdf</x:t>
  </x:si>
  <x:si>
    <x:t xml:space="preserve">浏览器/替代官方链接手动下载；若无法获取，标记 blocked。</x:t>
  </x:si>
  <x:si>
    <x:t xml:space="preserve">中国基层管理</x:t>
  </x:si>
  <x:si>
    <x:t xml:space="preserve">基层医疗卫生机构高血压防治管理标准（WS/T 872—2025）</x:t>
  </x:si>
  <x:si>
    <x:t xml:space="preserve">2025</x:t>
  </x:si>
  <x:si>
    <x:t xml:space="preserve">downloaded</x:t>
  </x:si>
  <x:si>
    <x:t xml:space="preserve">已下载或已复用；若已摘要入库则不需重复处理。</x:t>
  </x:si>
  <x:si>
    <x:t xml:space="preserve">家庭血压监测</x:t>
  </x:si>
  <x:si>
    <x:t xml:space="preserve">2019</x:t>
  </x:si>
  <x:si>
    <x:t xml:space="preserve">knowledge_base/sources/downloads/chinese_2019_home_bp_monitoring_guideline.pdf</x:t>
  </x:si>
  <x:si>
    <x:t xml:space="preserve">血压测量规范</x:t>
  </x:si>
  <x:si>
    <x:t xml:space="preserve">2011</x:t>
  </x:si>
  <x:si>
    <x:t xml:space="preserve">P1 建议</x:t>
  </x:si>
  <x:si>
    <x:t xml:space="preserve">患者教育</x:t>
  </x:si>
  <x:si>
    <x:t xml:space="preserve">2013</x:t>
  </x:si>
  <x:si>
    <x:t xml:space="preserve">特殊人群</x:t>
  </x:si>
  <x:si>
    <x:t xml:space="preserve">2023</x:t>
  </x:si>
  <x:si>
    <x:t xml:space="preserve">P2 可选</x:t>
  </x:si>
  <x:si>
    <x:t xml:space="preserve">特殊病因/转诊</x:t>
  </x:si>
  <x:si>
    <x:t xml:space="preserve">国际核心指南</x:t>
  </x:si>
  <x:si>
    <x:t xml:space="preserve">2025 AHA/ACC/AANP/AAPA/ABC/ACCP/ACPM/AGS/AMA/ASPC/NMA/PCNA/SGIM Guideline for the Prevention, Detection, Evaluation, and Management of High Blood Pressure in Adults</x:t>
  </x:si>
  <x:si>
    <x:t xml:space="preserve">existing</x:t>
  </x:si>
  <x:si>
    <x:t xml:space="preserve">2024 ESC Guidelines for the management of elevated blood pressure and hypertension</x:t>
  </x:si>
  <x:si>
    <x:t xml:space="preserve">knowledge_base/sources/downloads/esc_2024_elevated_bp_hypertension_guideline.pdf</x:t>
  </x:si>
  <x:si>
    <x:t xml:space="preserve">2021</x:t>
  </x:si>
  <x:si>
    <x:t xml:space="preserve">Hypertension in adults: diagnosis and management (NICE guideline NG136)</x:t>
  </x:si>
  <x:si>
    <x:t xml:space="preserve">2019/2026更新</x:t>
  </x:si>
  <x:si>
    <x:t xml:space="preserve">家庭监测/复测</x:t>
  </x:si>
  <x:si>
    <x:t xml:space="preserve">Self-Measured Blood Pressure Monitoring at Home: A Joint Policy Statement From the American Heart Association and American Medical Association</x:t>
  </x:si>
  <x:si>
    <x:t xml:space="preserve">2020</x:t>
  </x:si>
  <x:si>
    <x:t xml:space="preserve">knowledge_base/sources/downloads/aha_ama_2020_smbp_policy_statement.pdf</x:t>
  </x:si>
  <x:si>
    <x:t xml:space="preserve">PPG/无袖带局限</x:t>
  </x:si>
  <x:si>
    <x:t xml:space="preserve">Cuffless Devices for the Measurement of Blood Pressure: A Scientific Statement From the American Heart Association</x:t>
  </x:si>
  <x:si>
    <x:t xml:space="preserve">2026</x:t>
  </x:si>
  <x:si>
    <x:t xml:space="preserve">Cuffless Non-invasive Blood Pressure Measuring Devices: Clinical Performance Testing and Evaluation</x:t>
  </x:si>
  <x:si>
    <x:t xml:space="preserve">2026草案</x:t>
  </x:si>
  <x:si>
    <x:t xml:space="preserve">生活方式建议</x:t>
  </x:si>
  <x:si>
    <x:t xml:space="preserve">长期更新</x:t>
  </x:si>
  <x:si>
    <x:t xml:space="preserve">Life's Essential 8: How to Manage Blood Pressure</x:t>
  </x:si>
  <x:si>
    <x:t xml:space="preserve">Managing My Blood Pressure: Questions to Ask My Doctor</x:t>
  </x:si>
  <x:si>
    <x:t xml:space="preserve">心血管风险评估</x:t>
  </x:si>
  <x:si>
    <x:t xml:space="preserve">Development and Validation of the American Heart Association Predicting Risk of Cardiovascular Disease EVENTs (PREVENT) Equations</x:t>
  </x:si>
  <x:si>
    <x:t xml:space="preserve">knowledge_base/sources/downloads/aha_prevent_equations_circulation_2024.pdf</x:t>
  </x:si>
  <x:si>
    <x:t xml:space="preserve">file_name</x:t>
  </x:si>
  <x:si>
    <x:t xml:space="preserve">tracked_candidate</x:t>
  </x:si>
  <x:si>
    <x:t xml:space="preserve">in_pro_manifest</x:t>
  </x:si>
  <x:si>
    <x:t xml:space="preserve">suggested_check</x:t>
  </x:si>
  <x:si>
    <x:t xml:space="preserve">field</x:t>
  </x:si>
  <x:si>
    <x:t xml:space="preserve">meaning</x:t>
  </x:si>
  <x:si>
    <x:t xml:space="preserve">给你手填：not_started / downloaded / failed / alternative_found / skip</x:t>
  </x:si>
  <x:si>
    <x:t xml:space="preserve">下载后建议保存的相对路径和文件名；后续脚本按 source_id.pdf 检测。</x:t>
  </x:si>
  <x:si>
    <x:t xml:space="preserve">action_status=已摘要入库</x:t>
  </x:si>
  <x:si>
    <x:t xml:space="preserve">已经进入 RAG，可不再重复下载。</x:t>
  </x:si>
  <x:si>
    <x:t xml:space="preserve">action_status=需浏览器/机构访问</x:t>
  </x:si>
  <x:si>
    <x:t xml:space="preserve">需要你当前浏览器或机构会话；不能记录账号、密码、cookie、token。</x:t>
  </x:si>
  <x:si>
    <x:t xml:space="preserve">action_status=下载受阻</x:t>
  </x:si>
  <x:si>
    <x:t xml:space="preserve">之前自动下载失败或被 403/Cloudflare/验证码阻断。</x:t>
  </x:si>
  <x:si>
    <x:t xml:space="preserve">例如 ISO 标准，只保留 citation 和原则，不下载/复制受版权保护全文。</x:t>
  </x:si>
  <x:si>
    <x:t xml:space="preserve">后续入库命令</x:t>
  </x:si>
  <x:si>
    <x:t xml:space="preserve">下载后补 candidates/source catalog 摘要，再运行 create_fulltext_summaries、extract_source_notes、ingest_kb、audit/evaluate。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</x:si>
</x:sst>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"/>
      <x:name val="Aptos"/>
    </x:font>
    <x:font>
      <x:b/>
      <x:sz val="11"/>
      <x:name val="Carlito"/>
    </x:font>
    <x:font>
      <x:sz val="10"/>
      <x:color rgb="111827"/>
      <x:name val="Aptos"/>
    </x:font>
    <x:font>
      <x:b/>
      <x:sz val="10"/>
      <x:color rgb="FFFFFF"/>
      <x:name val="Aptos"/>
    </x:font>
    <x:font>
      <x:sz val="11"/>
      <x:name val="Carlito"/>
    </x:font>
    <x:font>
      <x:sz val="9"/>
      <x:name val="FangSong"/>
    </x:font>
    <x:font>
      <x:sz val="10"/>
      <x:color theme="9"/>
      <x:name val="Aptos"/>
    </x:font>
    <x:font>
      <x:sz val="11"/>
      <x:color theme="9"/>
      <x:name val="Carlito"/>
    </x:font>
    <x:font>
      <x:sz val="10"/>
      <x:color rgb="7F1D1D"/>
      <x:name val="Aptos"/>
    </x:font>
    <x:font>
      <x:sz val="10"/>
      <x:color rgb="14532D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FECACA"/>
      </x:patternFill>
    </x:fill>
    <x:fill>
      <x:patternFill patternType="solid">
        <x:fgColor rgb="DCFCE7"/>
      </x:patternFill>
    </x:fill>
    <x:fill>
      <x:patternFill patternType="solid">
        <x:fgColor rgb="FECACA"/>
      </x:patternFill>
    </x:fill>
    <x:fill>
      <x:patternFill patternType="solid">
        <x:fgColor rgb="DCFCE7"/>
      </x:patternFill>
    </x:fill>
  </x:fills>
  <x:borders count="12">
    <x:border/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2">
    <x:xf numFmtId="0" fontId="0" fillId="0" borderId="0"/>
    <x:xf numFmtId="0" fontId="5" fillId="0" borderId="0"/>
  </x:cellStyleXfs>
  <x:cellXfs count="53">
    <x:xf numFmtId="0" fontId="0" fillId="0" borderId="0" xfId="0"/>
    <x:xf numFmtId="0" fontId="1" fillId="2" borderId="0" xfId="1" applyFont="1" applyFill="1" applyAlignment="1">
      <x:alignment wrapText="1"/>
    </x:xf>
    <x:xf numFmtId="0" fontId="2" fillId="3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3" fillId="0" borderId="4" xfId="1" applyFont="1" applyBorder="1" applyAlignment="1">
      <x:alignment vertical="top" wrapText="1"/>
    </x:xf>
    <x:xf numFmtId="0" fontId="3" fillId="0" borderId="0" xfId="1" applyFont="1" applyAlignment="1">
      <x:alignment vertical="top" wrapText="1"/>
    </x:xf>
    <x:xf numFmtId="0" fontId="3" fillId="0" borderId="5" xfId="1" applyFont="1" applyBorder="1" applyAlignment="1">
      <x:alignment vertical="top" wrapText="1"/>
    </x:xf>
    <x:xf numFmtId="0" fontId="3" fillId="0" borderId="6" xfId="1" applyFont="1" applyBorder="1" applyAlignment="1">
      <x:alignment vertical="top" wrapText="1"/>
    </x:xf>
    <x:xf numFmtId="0" fontId="3" fillId="0" borderId="7" xfId="1" applyFont="1" applyBorder="1" applyAlignment="1">
      <x:alignment vertical="top" wrapText="1"/>
    </x:xf>
    <x:xf numFmtId="0" fontId="3" fillId="0" borderId="8" xfId="1" applyFont="1" applyBorder="1" applyAlignment="1">
      <x:alignment vertical="top" wrapText="1"/>
    </x:xf>
    <x:xf numFmtId="0" fontId="4" fillId="2" borderId="1" xfId="1" applyFont="1" applyFill="1" applyBorder="1" applyAlignment="1">
      <x:alignment horizontal="center" vertical="center" wrapText="1"/>
    </x:xf>
    <x:xf numFmtId="0" fontId="4" fillId="2" borderId="2" xfId="1" applyFont="1" applyFill="1" applyBorder="1" applyAlignment="1">
      <x:alignment horizontal="center" vertical="center" wrapText="1"/>
    </x:xf>
    <x:xf numFmtId="0" fontId="4" fillId="2" borderId="3" xfId="1" applyFont="1" applyFill="1" applyBorder="1" applyAlignment="1">
      <x:alignment horizontal="center" vertical="center" wrapText="1"/>
    </x:xf>
    <x:xf numFmtId="0" fontId="3" fillId="0" borderId="4" xfId="1" applyFont="1" applyBorder="1" applyAlignment="1">
      <x:alignment horizontal="center" vertical="top" wrapText="1"/>
    </x:xf>
    <x:xf numFmtId="0" fontId="3" fillId="0" borderId="6" xfId="1" applyFont="1" applyBorder="1" applyAlignment="1">
      <x:alignment horizontal="center" vertical="top" wrapText="1"/>
    </x:xf>
    <x:xf numFmtId="0" fontId="7" fillId="0" borderId="4" xfId="1" applyFont="1" applyBorder="1" applyAlignment="1">
      <x:alignment horizontal="center" vertical="top" wrapText="1"/>
    </x:xf>
    <x:xf numFmtId="0" fontId="7" fillId="0" borderId="0" xfId="1" applyFont="1" applyAlignment="1">
      <x:alignment vertical="top" wrapText="1"/>
    </x:xf>
    <x:xf numFmtId="0" fontId="7" fillId="0" borderId="5" xfId="1" applyFont="1" applyBorder="1" applyAlignment="1">
      <x:alignment vertical="top" wrapText="1"/>
    </x:xf>
    <x:xf numFmtId="0" fontId="7" fillId="0" borderId="0" xfId="1" applyFont="1" applyFill="1" applyBorder="1" applyAlignment="1">
      <x:alignment vertical="top" wrapText="1"/>
    </x:xf>
    <x:xf numFmtId="0" fontId="8" fillId="0" borderId="0" xfId="0" applyFont="1"/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9" fillId="4" borderId="4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vertical="top" wrapText="1"/>
    </x:xf>
    <x:xf numFmtId="0" fontId="9" fillId="4" borderId="11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10" fillId="5" borderId="4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5" xfId="0" applyNumberFormat="1" applyFont="1" applyFill="1" applyBorder="1" applyAlignment="1">
      <x:alignment vertical="top" wrapText="1"/>
    </x:xf>
    <x:xf numFmtId="0" fontId="10" fillId="5" borderId="9" xfId="0" applyNumberFormat="1" applyFont="1" applyFill="1" applyBorder="1" applyAlignment="1">
      <x:alignment vertical="top" wrapText="1"/>
    </x:xf>
    <x:xf numFmtId="0" fontId="10" fillId="5" borderId="10" xfId="0" applyNumberFormat="1" applyFont="1" applyFill="1" applyBorder="1" applyAlignment="1">
      <x:alignment vertical="top" wrapText="1"/>
    </x:xf>
    <x:xf numFmtId="0" fontId="10" fillId="5" borderId="11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10" fillId="5" borderId="6" xfId="0" applyNumberFormat="1" applyFont="1" applyFill="1" applyBorder="1" applyAlignment="1">
      <x:alignment vertical="top" wrapText="1"/>
    </x:xf>
    <x:xf numFmtId="0" fontId="10" fillId="5" borderId="7" xfId="0" applyNumberFormat="1" applyFont="1" applyFill="1" applyBorder="1" applyAlignment="1">
      <x:alignment vertical="top" wrapText="1"/>
    </x:xf>
    <x:xf numFmtId="0" fontId="10" fillId="5" borderId="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0" fontId="9" fillId="6" borderId="10" xfId="0" applyNumberFormat="1" applyFont="1" applyFill="1" applyBorder="1" applyAlignment="1">
      <x:alignment vertical="top" wrapText="1"/>
    </x:xf>
    <x:xf numFmtId="0" fontId="9" fillId="6" borderId="11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9" fillId="7" borderId="10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13998d8ee4fb5" /><Relationship Type="http://schemas.openxmlformats.org/officeDocument/2006/relationships/theme" Target="/xl/theme/theme1.xml" Id="R27eac02120904190" /><Relationship Type="http://schemas.openxmlformats.org/officeDocument/2006/relationships/sharedStrings" Target="/xl/sharedStrings.xml" Id="Rdc0fdb72adfc466c" /><Relationship Type="http://schemas.openxmlformats.org/officeDocument/2006/relationships/worksheet" Target="/xl/worksheets/sheet1.xml" Id="Rb86bd3234b0d4f68" /><Relationship Type="http://schemas.openxmlformats.org/officeDocument/2006/relationships/worksheet" Target="/xl/worksheets/sheet2.xml" Id="R731b9753212b4b64" /><Relationship Type="http://schemas.openxmlformats.org/officeDocument/2006/relationships/worksheet" Target="/xl/worksheets/sheet3.xml" Id="Rdb3106e404a74acb" /><Relationship Type="http://schemas.openxmlformats.org/officeDocument/2006/relationships/worksheet" Target="/xl/worksheets/sheet4.xml" Id="R4b34c587719b41bc" /><Relationship Type="http://schemas.openxmlformats.org/officeDocument/2006/relationships/worksheet" Target="/xl/worksheets/sheet5.xml" Id="Rb808040ed8554fea" /><Relationship Type="http://schemas.openxmlformats.org/officeDocument/2006/relationships/worksheet" Target="/xl/worksheets/sheet6.xml" Id="R7efe2b756efe45b0" /><Relationship Type="http://schemas.openxmlformats.org/officeDocument/2006/relationships/worksheet" Target="/xl/worksheets/sheet7.xml" Id="Rd2e622c2b89c41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34.5" customWidth="1"/>
    <x:col min="2" max="2" width="64.6640625" customWidth="1"/>
  </x:cols>
  <x:sheetData>
    <x:row r="1" ht="42">
      <x:c r="A1" s="1" t="s">
        <x:v>0</x:v>
      </x:c>
      <x:c r="B1" s="1"/>
    </x:row>
    <x:row r="2" ht="16">
      <x:c r="A2" s="2" t="s">
        <x:v>1</x:v>
      </x:c>
      <x:c r="B2" s="3" t="s">
        <x:v>2</x:v>
      </x:c>
    </x:row>
    <x:row r="3" ht="16">
      <x:c r="A3" s="2" t="s">
        <x:v>3</x:v>
      </x:c>
      <x:c r="B3" s="3" t="s">
        <x:v>4</x:v>
      </x:c>
    </x:row>
    <x:row r="4" ht="16">
      <x:c r="A4" s="2" t="s">
        <x:v>5</x:v>
      </x:c>
      <x:c r="B4" s="3">
        <x:v>38</x:v>
      </x:c>
    </x:row>
    <x:row r="5" ht="16">
      <x:c r="A5" s="2" t="s">
        <x:v>6</x:v>
      </x:c>
      <x:c r="B5" s="3">
        <x:v>28</x:v>
      </x:c>
    </x:row>
    <x:row r="6" ht="16">
      <x:c r="A6" s="2" t="s">
        <x:v>7</x:v>
      </x:c>
      <x:c r="B6" s="3">
        <x:v>93</x:v>
      </x:c>
    </x:row>
    <x:row r="7" ht="16">
      <x:c r="A7" s="2" t="s">
        <x:v>8</x:v>
      </x:c>
      <x:c r="B7" s="3">
        <x:v>406</x:v>
      </x:c>
    </x:row>
    <x:row r="8" ht="16">
      <x:c r="A8" s="2" t="s">
        <x:v>9</x:v>
      </x:c>
      <x:c r="B8" s="3" t="s">
        <x:v>10</x:v>
      </x:c>
    </x:row>
    <x:row r="9" ht="16">
      <x:c r="A9" s="2" t="s">
        <x:v>11</x:v>
      </x:c>
      <x:c r="B9" s="3">
        <x:v>1</x:v>
      </x:c>
    </x:row>
    <x:row r="10" ht="16">
      <x:c r="A10" s="2" t="s">
        <x:v>12</x:v>
      </x:c>
      <x:c r="B10" s="3">
        <x:v>0</x:v>
      </x:c>
    </x:row>
    <x:row r="11" ht="16">
      <x:c r="A11" s="2" t="s">
        <x:v>13</x:v>
      </x:c>
      <x:c r="B11" s="3" t="s">
        <x:v>14</x:v>
      </x:c>
    </x:row>
    <x:row r="12" ht="31">
      <x:c r="A12" s="2" t="s">
        <x:v>15</x:v>
      </x:c>
      <x:c r="B12" s="3" t="s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3.5" customWidth="1"/>
    <x:col min="2" max="2" width="58.33203125" customWidth="1"/>
    <x:col min="3" max="3" width="63.83203125" customWidth="1"/>
    <x:col min="4" max="4" width="85.6640625" customWidth="1"/>
    <x:col min="5" max="5" width="25.1640625" customWidth="1"/>
  </x:cols>
  <x:sheetData>
    <x:row r="1" ht="20" customHeight="1">
      <x:c r="A1" s="10" t="s">
        <x:v>17</x:v>
      </x:c>
      <x:c r="B1" s="11" t="s">
        <x:v>18</x:v>
      </x:c>
      <x:c r="C1" s="11" t="s">
        <x:v>19</x:v>
      </x:c>
      <x:c r="D1" s="11" t="s">
        <x:v>20</x:v>
      </x:c>
      <x:c r="E1" s="12" t="s">
        <x:v>21</x:v>
      </x:c>
    </x:row>
    <x:row r="2" ht="20" customHeight="1">
      <x:c r="A2" s="13">
        <x:v>1</x:v>
      </x:c>
      <x:c r="B2" s="5" t="s">
        <x:v>22</x:v>
      </x:c>
      <x:c r="C2" s="5" t="s">
        <x:v>23</x:v>
      </x:c>
      <x:c r="D2" s="5" t="s">
        <x:v>24</x:v>
      </x:c>
      <x:c r="E2" s="6" t="s">
        <x:v>25</x:v>
      </x:c>
    </x:row>
    <x:row r="3" s="19" customFormat="1" ht="20" customHeight="1">
      <x:c r="A3" s="15">
        <x:v>2</x:v>
      </x:c>
      <x:c r="B3" s="16" t="s">
        <x:v>26</x:v>
      </x:c>
      <x:c r="C3" s="16" t="s">
        <x:v>27</x:v>
      </x:c>
      <x:c r="D3" s="16" t="s">
        <x:v>28</x:v>
      </x:c>
      <x:c r="E3" s="17" t="s">
        <x:v>29</x:v>
      </x:c>
      <x:c r="F3" s="18" t="s">
        <x:v>30</x:v>
      </x:c>
    </x:row>
    <x:row r="4" s="19" customFormat="1" ht="20" customHeight="1">
      <x:c r="A4" s="15">
        <x:v>3</x:v>
      </x:c>
      <x:c r="B4" s="16" t="s">
        <x:v>31</x:v>
      </x:c>
      <x:c r="C4" s="16" t="s">
        <x:v>32</x:v>
      </x:c>
      <x:c r="D4" s="16" t="s">
        <x:v>33</x:v>
      </x:c>
      <x:c r="E4" s="17" t="s">
        <x:v>29</x:v>
      </x:c>
      <x:c r="F4" s="18" t="s">
        <x:v>34</x:v>
      </x:c>
    </x:row>
    <x:row r="5" ht="20" customHeight="1">
      <x:c r="A5" s="13">
        <x:v>4</x:v>
      </x:c>
      <x:c r="B5" s="5" t="s">
        <x:v>35</x:v>
      </x:c>
      <x:c r="C5" s="5" t="s">
        <x:v>36</x:v>
      </x:c>
      <x:c r="D5" s="5" t="s">
        <x:v>37</x:v>
      </x:c>
      <x:c r="E5" s="6" t="s">
        <x:v>25</x:v>
      </x:c>
    </x:row>
    <x:row r="6" s="19" customFormat="1" ht="20" customHeight="1">
      <x:c r="A6" s="15">
        <x:v>5</x:v>
      </x:c>
      <x:c r="B6" s="16" t="s">
        <x:v>38</x:v>
      </x:c>
      <x:c r="C6" s="16" t="s">
        <x:v>39</x:v>
      </x:c>
      <x:c r="D6" s="16" t="s">
        <x:v>40</x:v>
      </x:c>
      <x:c r="E6" s="17" t="s">
        <x:v>29</x:v>
      </x:c>
      <x:c r="F6" s="18" t="s">
        <x:v>41</x:v>
      </x:c>
    </x:row>
    <x:row r="7" s="19" customFormat="1" ht="20" customHeight="1">
      <x:c r="A7" s="15">
        <x:v>6</x:v>
      </x:c>
      <x:c r="B7" s="16" t="s">
        <x:v>42</x:v>
      </x:c>
      <x:c r="C7" s="16" t="s">
        <x:v>43</x:v>
      </x:c>
      <x:c r="D7" s="16" t="s">
        <x:v>44</x:v>
      </x:c>
      <x:c r="E7" s="17" t="s">
        <x:v>29</x:v>
      </x:c>
    </x:row>
    <x:row r="8" ht="20" customHeight="1">
      <x:c r="A8" s="13">
        <x:v>7</x:v>
      </x:c>
      <x:c r="B8" s="5" t="s">
        <x:v>45</x:v>
      </x:c>
      <x:c r="C8" s="5" t="s">
        <x:v>46</x:v>
      </x:c>
      <x:c r="D8" s="5" t="s">
        <x:v>47</x:v>
      </x:c>
      <x:c r="E8" s="6" t="s">
        <x:v>29</x:v>
      </x:c>
    </x:row>
    <x:row r="9" ht="20" customHeight="1">
      <x:c r="A9" s="13">
        <x:v>8</x:v>
      </x:c>
      <x:c r="B9" s="5" t="s">
        <x:v>48</x:v>
      </x:c>
      <x:c r="C9" s="5" t="s">
        <x:v>49</x:v>
      </x:c>
      <x:c r="D9" s="5" t="s">
        <x:v>50</x:v>
      </x:c>
      <x:c r="E9" s="6" t="s">
        <x:v>51</x:v>
      </x:c>
    </x:row>
    <x:row r="10" ht="20" customHeight="1">
      <x:c r="A10" s="14">
        <x:v>9</x:v>
      </x:c>
      <x:c r="B10" s="8" t="s">
        <x:v>52</x:v>
      </x:c>
      <x:c r="C10" s="8" t="s">
        <x:v>53</x:v>
      </x:c>
      <x:c r="D10" s="8" t="s">
        <x:v>54</x:v>
      </x:c>
      <x:c r="E10" s="9" t="s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5.5" customWidth="1"/>
    <x:col min="2" max="2" width="27.6640625" customWidth="1"/>
    <x:col min="3" max="3" width="71.83203125" customWidth="1"/>
    <x:col min="4" max="4" width="41.5" customWidth="1"/>
    <x:col min="5" max="5" width="99.6640625" customWidth="1"/>
    <x:col min="6" max="6" width="40.33203125" customWidth="1"/>
    <x:col min="7" max="7" width="10.5" customWidth="1"/>
    <x:col min="8" max="8" width="37.1640625" customWidth="1"/>
    <x:col min="9" max="9" width="60" customWidth="1"/>
    <x:col min="10" max="10" width="16" customWidth="1"/>
    <x:col min="11" max="11" width="15" customWidth="1"/>
    <x:col min="12" max="12" width="20.6640625" customWidth="1"/>
    <x:col min="13" max="13" width="12.83203125" customWidth="1"/>
    <x:col min="14" max="14" width="7" customWidth="1"/>
    <x:col min="15" max="15" width="11.5" customWidth="1"/>
    <x:col min="16" max="16" width="108.1640625" customWidth="1"/>
    <x:col min="17" max="17" width="90" customWidth="1"/>
    <x:col min="18" max="18" width="69" customWidth="1"/>
    <x:col min="19" max="19" width="70.33203125" customWidth="1"/>
    <x:col min="20" max="20" width="151.6640625" customWidth="1"/>
    <x:col min="21" max="21" width="17.5" customWidth="1"/>
    <x:col min="22" max="22" width="8.6640625" customWidth="1"/>
  </x:cols>
  <x:sheetData>
    <x:row r="1" ht="20" customHeight="1">
      <x:c r="A1" s="10" t="s">
        <x:v>55</x:v>
      </x:c>
      <x:c r="B1" s="11" t="s">
        <x:v>56</x:v>
      </x:c>
      <x:c r="C1" s="11" t="s">
        <x:v>57</x:v>
      </x:c>
      <x:c r="D1" s="11" t="s">
        <x:v>58</x:v>
      </x:c>
      <x:c r="E1" s="11" t="s">
        <x:v>18</x:v>
      </x:c>
      <x:c r="F1" s="11" t="s">
        <x:v>59</x:v>
      </x:c>
      <x:c r="G1" s="11" t="s">
        <x:v>60</x:v>
      </x:c>
      <x:c r="H1" s="11" t="s">
        <x:v>61</x:v>
      </x:c>
      <x:c r="I1" s="11" t="s">
        <x:v>62</x:v>
      </x:c>
      <x:c r="J1" s="11" t="s">
        <x:v>63</x:v>
      </x:c>
      <x:c r="K1" s="11" t="s">
        <x:v>64</x:v>
      </x:c>
      <x:c r="L1" s="11" t="s">
        <x:v>65</x:v>
      </x:c>
      <x:c r="M1" s="11" t="s">
        <x:v>66</x:v>
      </x:c>
      <x:c r="N1" s="11" t="s">
        <x:v>67</x:v>
      </x:c>
      <x:c r="O1" s="11" t="s">
        <x:v>68</x:v>
      </x:c>
      <x:c r="P1" s="11" t="s">
        <x:v>69</x:v>
      </x:c>
      <x:c r="Q1" s="11" t="s">
        <x:v>70</x:v>
      </x:c>
      <x:c r="R1" s="11" t="s">
        <x:v>71</x:v>
      </x:c>
      <x:c r="S1" s="11" t="s">
        <x:v>72</x:v>
      </x:c>
      <x:c r="T1" s="11" t="s">
        <x:v>73</x:v>
      </x:c>
      <x:c r="U1" s="11" t="s">
        <x:v>74</x:v>
      </x:c>
      <x:c r="V1" s="12" t="s">
        <x:v>75</x:v>
      </x:c>
    </x:row>
    <x:row r="2" ht="20" customHeight="1">
      <x:c r="A2" s="44" t="s">
        <x:v>76</x:v>
      </x:c>
      <x:c r="B2" s="45" t="str">
        <x:v>无法下载</x:v>
      </x:c>
      <x:c r="C2" s="45" t="s">
        <x:v>77</x:v>
      </x:c>
      <x:c r="D2" s="45" t="s">
        <x:v>78</x:v>
      </x:c>
      <x:c r="E2" s="45" t="s">
        <x:v>79</x:v>
      </x:c>
      <x:c r="F2" s="45" t="s">
        <x:v>80</x:v>
      </x:c>
      <x:c r="G2" s="45">
        <x:v>2024</x:v>
      </x:c>
      <x:c r="H2" s="45" t="s">
        <x:v>81</x:v>
      </x:c>
      <x:c r="I2" s="45" t="s">
        <x:v>82</x:v>
      </x:c>
      <x:c r="J2" s="45" t="s">
        <x:v>83</x:v>
      </x:c>
      <x:c r="K2" s="45" t="s">
        <x:v>84</x:v>
      </x:c>
      <x:c r="L2" s="45" t="s">
        <x:v>85</x:v>
      </x:c>
      <x:c r="M2" s="45" t="s">
        <x:v>86</x:v>
      </x:c>
      <x:c r="N2" s="45" t="s">
        <x:v>84</x:v>
      </x:c>
      <x:c r="O2" s="45" t="s">
        <x:v>84</x:v>
      </x:c>
      <x:c r="P2" s="45" t="e">
        <x:f>HYPERLINK("https://www.escardio.org/static-file/Escardio/Guidelines/Products/Essential%20Messages/2024%20EM/Essential%20Messages_2024%20HTN.pdf","打开链接")</x:f>
      </x:c>
      <x:c r="Q2" s="45" t="e">
        <x:f>HYPERLINK("https://www.acc.org/Latest-in-Cardiology/ten-points-to-remember/2024/09/05/14/11/2024-esc-guidelines-for-bp-esc-2024","打开链接")</x:f>
      </x:c>
      <x:c r="R2" s="45" t="s">
        <x:v>87</x:v>
      </x:c>
      <x:c r="S2" s="45" t="s">
        <x:v>88</x:v>
      </x:c>
      <x:c r="T2" s="45" t="s">
        <x:v>89</x:v>
      </x:c>
      <x:c r="U2" s="45" t="str">
        <x:v>failed</x:v>
      </x:c>
      <x:c r="V2" s="46" t="str">
        <x:v>Supplemental ESC files archived: DOI declaration report and pharmacotherapy short article. Expected ESC Essential Messages PDF is still not the same file, so this candidate remains not completed.</x:v>
      </x:c>
    </x:row>
    <x:row r="3" ht="20" customHeight="1">
      <x:c r="A3" s="50" t="s">
        <x:v>90</x:v>
      </x:c>
      <x:c r="B3" s="51" t="str">
        <x:v>已下载待摘要</x:v>
      </x:c>
      <x:c r="C3" s="51" t="s">
        <x:v>91</x:v>
      </x:c>
      <x:c r="D3" s="51" t="s">
        <x:v>92</x:v>
      </x:c>
      <x:c r="E3" s="51" t="s">
        <x:v>93</x:v>
      </x:c>
      <x:c r="F3" s="51" t="s">
        <x:v>94</x:v>
      </x:c>
      <x:c r="G3" s="51">
        <x:v>2026</x:v>
      </x:c>
      <x:c r="H3" s="51" t="s">
        <x:v>95</x:v>
      </x:c>
      <x:c r="I3" s="51" t="s">
        <x:v>96</x:v>
      </x:c>
      <x:c r="J3" s="51" t="s">
        <x:v>97</x:v>
      </x:c>
      <x:c r="K3" s="51" t="s">
        <x:v>84</x:v>
      </x:c>
      <x:c r="L3" s="51" t="s">
        <x:v>98</x:v>
      </x:c>
      <x:c r="M3" s="51" t="s">
        <x:v>86</x:v>
      </x:c>
      <x:c r="N3" s="51" t="str">
        <x:v>是</x:v>
      </x:c>
      <x:c r="O3" s="51" t="str">
        <x:v>否</x:v>
      </x:c>
      <x:c r="P3" s="51"/>
      <x:c r="Q3" s="51" t="e">
        <x:f>HYPERLINK("https://pmc.ncbi.nlm.nih.gov/articles/PMC12690187/","打开链接")</x:f>
      </x:c>
      <x:c r="R3" s="51" t="s">
        <x:v>99</x:v>
      </x:c>
      <x:c r="S3" s="51" t="s">
        <x:v>100</x:v>
      </x:c>
      <x:c r="T3" s="51" t="s">
        <x:v>101</x:v>
      </x:c>
      <x:c r="U3" s="51" t="str">
        <x:v>downloaded</x:v>
      </x:c>
      <x:c r="V3" s="52" t="str">
        <x:v>archived 2026-05-20; 30 pages; source file 10.2337:dc26-S010.pdf</x:v>
      </x:c>
    </x:row>
    <x:row r="4" ht="20" customHeight="1">
      <x:c r="A4" s="35" t="s">
        <x:v>90</x:v>
      </x:c>
      <x:c r="B4" s="36" t="str">
        <x:v>已下载待摘要</x:v>
      </x:c>
      <x:c r="C4" s="36" t="s">
        <x:v>102</x:v>
      </x:c>
      <x:c r="D4" s="36" t="s">
        <x:v>103</x:v>
      </x:c>
      <x:c r="E4" s="36" t="s">
        <x:v>104</x:v>
      </x:c>
      <x:c r="F4" s="36" t="s">
        <x:v>105</x:v>
      </x:c>
      <x:c r="G4" s="36">
        <x:v>2023</x:v>
      </x:c>
      <x:c r="H4" s="36" t="s">
        <x:v>106</x:v>
      </x:c>
      <x:c r="I4" s="36" t="s">
        <x:v>107</x:v>
      </x:c>
      <x:c r="J4" s="36" t="s">
        <x:v>108</x:v>
      </x:c>
      <x:c r="K4" s="36" t="s">
        <x:v>10</x:v>
      </x:c>
      <x:c r="L4" s="36" t="s">
        <x:v>109</x:v>
      </x:c>
      <x:c r="M4" s="36" t="s">
        <x:v>86</x:v>
      </x:c>
      <x:c r="N4" s="36" t="str">
        <x:v>是</x:v>
      </x:c>
      <x:c r="O4" s="36" t="str">
        <x:v>否</x:v>
      </x:c>
      <x:c r="P4" s="36"/>
      <x:c r="Q4" s="36" t="e">
        <x:f>HYPERLINK("https://www.eshonline.org/guidelines/","打开链接")</x:f>
      </x:c>
      <x:c r="R4" s="36" t="s">
        <x:v>110</x:v>
      </x:c>
      <x:c r="S4" s="36" t="s">
        <x:v>111</x:v>
      </x:c>
      <x:c r="T4" s="36" t="s">
        <x:v>112</x:v>
      </x:c>
      <x:c r="U4" s="36" t="str">
        <x:v>downloaded</x:v>
      </x:c>
      <x:c r="V4" s="37" t="str">
        <x:v>pages=199; https://medua.mobi/wp-content/uploads/2023/07/2023_ESH_Guidelines-for-the-management-of-arterial-hypertension.pdf</x:v>
      </x:c>
    </x:row>
    <x:row r="5" ht="20" customHeight="1">
      <x:c r="A5" s="26" t="s">
        <x:v>113</x:v>
      </x:c>
      <x:c r="B5" s="27" t="str">
        <x:v>无法下载</x:v>
      </x:c>
      <x:c r="C5" s="27" t="s">
        <x:v>114</x:v>
      </x:c>
      <x:c r="D5" s="27" t="s">
        <x:v>115</x:v>
      </x:c>
      <x:c r="E5" s="27" t="s">
        <x:v>116</x:v>
      </x:c>
      <x:c r="F5" s="27" t="s">
        <x:v>117</x:v>
      </x:c>
      <x:c r="G5" s="27">
        <x:v>2020</x:v>
      </x:c>
      <x:c r="H5" s="27" t="s">
        <x:v>118</x:v>
      </x:c>
      <x:c r="I5" s="27" t="s">
        <x:v>119</x:v>
      </x:c>
      <x:c r="J5" s="27" t="s">
        <x:v>108</x:v>
      </x:c>
      <x:c r="K5" s="27" t="s">
        <x:v>10</x:v>
      </x:c>
      <x:c r="L5" s="27" t="s">
        <x:v>98</x:v>
      </x:c>
      <x:c r="M5" s="27" t="s">
        <x:v>86</x:v>
      </x:c>
      <x:c r="N5" s="27" t="s">
        <x:v>84</x:v>
      </x:c>
      <x:c r="O5" s="27" t="s">
        <x:v>84</x:v>
      </x:c>
      <x:c r="P5" s="27" t="e">
        <x:f>HYPERLINK("https://ieeexplore.ieee.org/stamp/stamp.jsp?tp=&amp;arnumber=9176731","打开链接")</x:f>
      </x:c>
      <x:c r="Q5" s="27" t="e">
        <x:f>HYPERLINK("https://ieeexplore.ieee.org/document/9176731","打开链接")</x:f>
      </x:c>
      <x:c r="R5" s="27" t="s">
        <x:v>120</x:v>
      </x:c>
      <x:c r="S5" s="27" t="s">
        <x:v>121</x:v>
      </x:c>
      <x:c r="T5" s="27" t="s">
        <x:v>122</x:v>
      </x:c>
      <x:c r="U5" s="27" t="str">
        <x:v>failed</x:v>
      </x:c>
      <x:c r="V5" s="28" t="str">
        <x:v>not_pdf: first bytes=&lt;!DOCTYPE html&gt;                                                
 &lt;APM_DO_NOT_TOUCH&gt;
 &lt;script type="text/javascript"&gt;
 </x:v>
      </x:c>
    </x:row>
    <x:row r="6" ht="20" customHeight="1">
      <x:c r="A6" s="35" t="s">
        <x:v>113</x:v>
      </x:c>
      <x:c r="B6" s="36" t="str">
        <x:v>已下载待摘要</x:v>
      </x:c>
      <x:c r="C6" s="36" t="str">
        <x:v>补中文摘要 notes 后运行 create_fulltext_summaries/extract/ingest。</x:v>
      </x:c>
      <x:c r="D6" s="36" t="s">
        <x:v>123</x:v>
      </x:c>
      <x:c r="E6" s="36" t="s">
        <x:v>38</x:v>
      </x:c>
      <x:c r="F6" s="36" t="s">
        <x:v>124</x:v>
      </x:c>
      <x:c r="G6" s="36">
        <x:v>2020</x:v>
      </x:c>
      <x:c r="H6" s="36" t="s">
        <x:v>118</x:v>
      </x:c>
      <x:c r="I6" s="36" t="s">
        <x:v>119</x:v>
      </x:c>
      <x:c r="J6" s="36" t="s">
        <x:v>97</x:v>
      </x:c>
      <x:c r="K6" s="36" t="s">
        <x:v>84</x:v>
      </x:c>
      <x:c r="L6" s="36" t="s">
        <x:v>98</x:v>
      </x:c>
      <x:c r="M6" s="36" t="s">
        <x:v>86</x:v>
      </x:c>
      <x:c r="N6" s="36" t="str">
        <x:v>是</x:v>
      </x:c>
      <x:c r="O6" s="36" t="str">
        <x:v>否</x:v>
      </x:c>
      <x:c r="P6" s="36" t="e">
        <x:f>HYPERLINK("https://www.nature.com/articles/s41746-020-0226-6.pdf","打开链接")</x:f>
      </x:c>
      <x:c r="Q6" s="36" t="e">
        <x:f>HYPERLINK("https://www.nature.com/articles/s41746-020-0226-6","打开链接")</x:f>
      </x:c>
      <x:c r="R6" s="36" t="s">
        <x:v>125</x:v>
      </x:c>
      <x:c r="S6" s="36" t="s">
        <x:v>126</x:v>
      </x:c>
      <x:c r="T6" s="36" t="s">
        <x:v>127</x:v>
      </x:c>
      <x:c r="U6" s="36" t="str">
        <x:v>downloaded</x:v>
      </x:c>
      <x:c r="V6" s="37" t="str">
        <x:v>pages=9; archived from ~/Downloads on 2026-05-20</x:v>
      </x:c>
    </x:row>
    <x:row r="7" ht="20" customHeight="1">
      <x:c r="A7" s="35" t="s">
        <x:v>113</x:v>
      </x:c>
      <x:c r="B7" s="36" t="str">
        <x:v>已下载待摘要</x:v>
      </x:c>
      <x:c r="C7" s="36" t="str">
        <x:v>补中文摘要 notes 后运行 create_fulltext_summaries/extract/ingest。</x:v>
      </x:c>
      <x:c r="D7" s="36" t="s">
        <x:v>128</x:v>
      </x:c>
      <x:c r="E7" s="36" t="s">
        <x:v>42</x:v>
      </x:c>
      <x:c r="F7" s="36" t="s">
        <x:v>129</x:v>
      </x:c>
      <x:c r="G7" s="36">
        <x:v>2007</x:v>
      </x:c>
      <x:c r="H7" s="36" t="s">
        <x:v>118</x:v>
      </x:c>
      <x:c r="I7" s="36" t="s">
        <x:v>130</x:v>
      </x:c>
      <x:c r="J7" s="36" t="s">
        <x:v>108</x:v>
      </x:c>
      <x:c r="K7" s="36" t="s">
        <x:v>10</x:v>
      </x:c>
      <x:c r="L7" s="36" t="s">
        <x:v>98</x:v>
      </x:c>
      <x:c r="M7" s="36" t="s">
        <x:v>86</x:v>
      </x:c>
      <x:c r="N7" s="36" t="str">
        <x:v>是</x:v>
      </x:c>
      <x:c r="O7" s="36" t="str">
        <x:v>否</x:v>
      </x:c>
      <x:c r="P7" s="36" t="e">
        <x:f>HYPERLINK("https://iopscience.iop.org/article/10.1088/0967-3334/28/3/R01/pdf","打开链接")</x:f>
      </x:c>
      <x:c r="Q7" s="36" t="e">
        <x:f>HYPERLINK("https://pubmed.ncbi.nlm.nih.gov/17322588/","打开链接")</x:f>
      </x:c>
      <x:c r="R7" s="36" t="s">
        <x:v>131</x:v>
      </x:c>
      <x:c r="S7" s="36" t="s">
        <x:v>132</x:v>
      </x:c>
      <x:c r="T7" s="36" t="s">
        <x:v>133</x:v>
      </x:c>
      <x:c r="U7" s="36" t="str">
        <x:v>downloaded</x:v>
      </x:c>
      <x:c r="V7" s="37" t="str">
        <x:v>pages=40; archived from ~/Downloads on 2026-05-20</x:v>
      </x:c>
    </x:row>
    <x:row r="8" ht="20" customHeight="1">
      <x:c r="A8" s="26" t="s">
        <x:v>113</x:v>
      </x:c>
      <x:c r="B8" s="27" t="str">
        <x:v>无法下载</x:v>
      </x:c>
      <x:c r="C8" s="27" t="s">
        <x:v>114</x:v>
      </x:c>
      <x:c r="D8" s="27" t="s">
        <x:v>134</x:v>
      </x:c>
      <x:c r="E8" s="27" t="s">
        <x:v>135</x:v>
      </x:c>
      <x:c r="F8" s="27" t="s">
        <x:v>136</x:v>
      </x:c>
      <x:c r="G8" s="27">
        <x:v>2020</x:v>
      </x:c>
      <x:c r="H8" s="27" t="s">
        <x:v>118</x:v>
      </x:c>
      <x:c r="I8" s="27" t="s">
        <x:v>137</x:v>
      </x:c>
      <x:c r="J8" s="27" t="s">
        <x:v>108</x:v>
      </x:c>
      <x:c r="K8" s="27" t="s">
        <x:v>10</x:v>
      </x:c>
      <x:c r="L8" s="27" t="s">
        <x:v>98</x:v>
      </x:c>
      <x:c r="M8" s="27" t="s">
        <x:v>86</x:v>
      </x:c>
      <x:c r="N8" s="27" t="s">
        <x:v>84</x:v>
      </x:c>
      <x:c r="O8" s="27" t="s">
        <x:v>84</x:v>
      </x:c>
      <x:c r="P8" s="27" t="e">
        <x:f>HYPERLINK("https://ieeexplore.ieee.org/stamp/stamp.jsp?tp=&amp;arnumber=9016235","打开链接")</x:f>
      </x:c>
      <x:c r="Q8" s="27" t="e">
        <x:f>HYPERLINK("https://ieeexplore.ieee.org/document/9016235","打开链接")</x:f>
      </x:c>
      <x:c r="R8" s="27" t="s">
        <x:v>138</x:v>
      </x:c>
      <x:c r="S8" s="27" t="s">
        <x:v>139</x:v>
      </x:c>
      <x:c r="T8" s="27" t="s">
        <x:v>140</x:v>
      </x:c>
      <x:c r="U8" s="27" t="str">
        <x:v>failed</x:v>
      </x:c>
      <x:c r="V8" s="28" t="str">
        <x:v>curl: (35) LibreSSL SSL_connect: SSL_ERROR_SYSCALL in connection to doi.org:443</x:v>
      </x:c>
    </x:row>
    <x:row r="9" ht="20" customHeight="1">
      <x:c r="A9" s="26" t="s">
        <x:v>113</x:v>
      </x:c>
      <x:c r="B9" s="27" t="str">
        <x:v>无法下载</x:v>
      </x:c>
      <x:c r="C9" s="27" t="s">
        <x:v>114</x:v>
      </x:c>
      <x:c r="D9" s="27" t="s">
        <x:v>141</x:v>
      </x:c>
      <x:c r="E9" s="27" t="s">
        <x:v>142</x:v>
      </x:c>
      <x:c r="F9" s="27" t="s">
        <x:v>129</x:v>
      </x:c>
      <x:c r="G9" s="27">
        <x:v>2004</x:v>
      </x:c>
      <x:c r="H9" s="27" t="s">
        <x:v>118</x:v>
      </x:c>
      <x:c r="I9" s="27" t="s">
        <x:v>119</x:v>
      </x:c>
      <x:c r="J9" s="27" t="s">
        <x:v>108</x:v>
      </x:c>
      <x:c r="K9" s="27" t="s">
        <x:v>10</x:v>
      </x:c>
      <x:c r="L9" s="27" t="s">
        <x:v>98</x:v>
      </x:c>
      <x:c r="M9" s="27" t="s">
        <x:v>86</x:v>
      </x:c>
      <x:c r="N9" s="27" t="s">
        <x:v>84</x:v>
      </x:c>
      <x:c r="O9" s="27" t="s">
        <x:v>84</x:v>
      </x:c>
      <x:c r="P9" s="27" t="e">
        <x:f>HYPERLINK("https://iopscience.iop.org/article/10.1088/0967-3334/25/5/020/pdf","打开链接")</x:f>
      </x:c>
      <x:c r="Q9" s="27" t="e">
        <x:f>HYPERLINK("https://pubmed.ncbi.nlm.nih.gov/15535195/","打开链接")</x:f>
      </x:c>
      <x:c r="R9" s="27" t="s">
        <x:v>143</x:v>
      </x:c>
      <x:c r="S9" s="27" t="s">
        <x:v>144</x:v>
      </x:c>
      <x:c r="T9" s="27" t="s">
        <x:v>145</x:v>
      </x:c>
      <x:c r="U9" s="27" t="str">
        <x:v>failed</x:v>
      </x:c>
      <x:c r="V9" s="28" t="str">
        <x:v>not_pdf: first bytes=&lt;head&gt;&lt;title&gt;Radware Bot Manager Captcha&lt;/title&gt;&lt;script type="text/javascript"&gt; 	window.SSJSInternal = 73287;  	var __uz</x:v>
      </x:c>
    </x:row>
    <x:row r="10" ht="20" customHeight="1">
      <x:c r="A10" s="35" t="s">
        <x:v>113</x:v>
      </x:c>
      <x:c r="B10" s="36" t="str">
        <x:v>已下载待摘要</x:v>
      </x:c>
      <x:c r="C10" s="36" t="s">
        <x:v>114</x:v>
      </x:c>
      <x:c r="D10" s="36" t="s">
        <x:v>146</x:v>
      </x:c>
      <x:c r="E10" s="36" t="s">
        <x:v>147</x:v>
      </x:c>
      <x:c r="F10" s="36" t="s">
        <x:v>148</x:v>
      </x:c>
      <x:c r="G10" s="36">
        <x:v>2022</x:v>
      </x:c>
      <x:c r="H10" s="36" t="s">
        <x:v>118</x:v>
      </x:c>
      <x:c r="I10" s="36" t="s">
        <x:v>137</x:v>
      </x:c>
      <x:c r="J10" s="36" t="s">
        <x:v>108</x:v>
      </x:c>
      <x:c r="K10" s="36" t="s">
        <x:v>10</x:v>
      </x:c>
      <x:c r="L10" s="36" t="s">
        <x:v>98</x:v>
      </x:c>
      <x:c r="M10" s="36" t="s">
        <x:v>86</x:v>
      </x:c>
      <x:c r="N10" s="36" t="str">
        <x:v>是</x:v>
      </x:c>
      <x:c r="O10" s="36" t="str">
        <x:v>否</x:v>
      </x:c>
      <x:c r="P10" s="36" t="e">
        <x:f>HYPERLINK("https://ieeexplore.ieee.org/stamp/stamp.jsp?tp=&amp;arnumber=9731763","打开链接")</x:f>
      </x:c>
      <x:c r="Q10" s="36" t="e">
        <x:f>HYPERLINK("https://ieeexplore.ieee.org/document/9731763","打开链接")</x:f>
      </x:c>
      <x:c r="R10" s="36" t="s">
        <x:v>149</x:v>
      </x:c>
      <x:c r="S10" s="36" t="s">
        <x:v>150</x:v>
      </x:c>
      <x:c r="T10" s="36" t="s">
        <x:v>151</x:v>
      </x:c>
      <x:c r="U10" s="36" t="str">
        <x:v>downloaded</x:v>
      </x:c>
      <x:c r="V10" s="37" t="str">
        <x:v>pages=28; https://openaccess.city.ac.uk/id/eprint/28025/1/Wearable_Photoplethysmography_for_Cardiovascular_Monitoring.pdf</x:v>
      </x:c>
    </x:row>
  </x:sheetData>
  <x:conditionalFormatting sqref="B2:B10">
    <x:cfRule type="containsText" dxfId="2" priority="1" operator="containsText" text="下载受阻"/>
    <x:cfRule type="containsText" dxfId="1" priority="2" operator="containsText" text="机构"/>
    <x:cfRule type="containsText" dxfId="0" priority="3" operator="containsText" text="公开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5.5" customWidth="1"/>
    <x:col min="2" max="2" width="13.6640625" customWidth="1"/>
    <x:col min="3" max="3" width="45.83203125" customWidth="1"/>
    <x:col min="4" max="4" width="43.5" customWidth="1"/>
    <x:col min="5" max="5" width="88.83203125" customWidth="1"/>
    <x:col min="6" max="6" width="17.5" customWidth="1"/>
    <x:col min="7" max="7" width="66.5" customWidth="1"/>
    <x:col min="8" max="8" width="22" customWidth="1"/>
    <x:col min="9" max="9" width="15" customWidth="1"/>
    <x:col min="10" max="10" width="20.6640625" customWidth="1"/>
    <x:col min="11" max="11" width="12.83203125" customWidth="1"/>
    <x:col min="12" max="12" width="15.83203125" customWidth="1"/>
    <x:col min="13" max="13" width="7" customWidth="1"/>
    <x:col min="14" max="14" width="48.83203125" customWidth="1"/>
    <x:col min="15" max="15" width="11.5" customWidth="1"/>
    <x:col min="16" max="16" width="111.33203125" customWidth="1"/>
    <x:col min="17" max="17" width="131" customWidth="1"/>
    <x:col min="18" max="18" width="76.5" customWidth="1"/>
    <x:col min="19" max="19" width="11" customWidth="1"/>
  </x:cols>
  <x:sheetData>
    <x:row r="1" ht="20" customHeight="1">
      <x:c r="A1" s="10" t="s">
        <x:v>55</x:v>
      </x:c>
      <x:c r="B1" s="11" t="s">
        <x:v>56</x:v>
      </x:c>
      <x:c r="C1" s="11" t="s">
        <x:v>58</x:v>
      </x:c>
      <x:c r="D1" s="11" t="s">
        <x:v>152</x:v>
      </x:c>
      <x:c r="E1" s="11" t="s">
        <x:v>18</x:v>
      </x:c>
      <x:c r="F1" s="11" t="s">
        <x:v>61</x:v>
      </x:c>
      <x:c r="G1" s="11" t="s">
        <x:v>62</x:v>
      </x:c>
      <x:c r="H1" s="11" t="s">
        <x:v>63</x:v>
      </x:c>
      <x:c r="I1" s="11" t="s">
        <x:v>64</x:v>
      </x:c>
      <x:c r="J1" s="11" t="s">
        <x:v>65</x:v>
      </x:c>
      <x:c r="K1" s="11" t="s">
        <x:v>66</x:v>
      </x:c>
      <x:c r="L1" s="11" t="s">
        <x:v>153</x:v>
      </x:c>
      <x:c r="M1" s="11" t="s">
        <x:v>67</x:v>
      </x:c>
      <x:c r="N1" s="11" t="s">
        <x:v>154</x:v>
      </x:c>
      <x:c r="O1" s="11" t="s">
        <x:v>68</x:v>
      </x:c>
      <x:c r="P1" s="11" t="s">
        <x:v>69</x:v>
      </x:c>
      <x:c r="Q1" s="11" t="s">
        <x:v>70</x:v>
      </x:c>
      <x:c r="R1" s="11" t="s">
        <x:v>71</x:v>
      </x:c>
      <x:c r="S1" s="12" t="s">
        <x:v>155</x:v>
      </x:c>
    </x:row>
    <x:row r="2" ht="20" customHeight="1">
      <x:c r="A2" s="4" t="s">
        <x:v>156</x:v>
      </x:c>
      <x:c r="B2" s="5" t="s">
        <x:v>157</x:v>
      </x:c>
      <x:c r="C2" s="5" t="s">
        <x:v>158</x:v>
      </x:c>
      <x:c r="D2" s="5" t="s">
        <x:v>159</x:v>
      </x:c>
      <x:c r="E2" s="5" t="s">
        <x:v>160</x:v>
      </x:c>
      <x:c r="F2" s="5" t="s">
        <x:v>161</x:v>
      </x:c>
      <x:c r="G2" s="5" t="s">
        <x:v>162</x:v>
      </x:c>
      <x:c r="H2" s="5" t="s">
        <x:v>108</x:v>
      </x:c>
      <x:c r="I2" s="5" t="s">
        <x:v>10</x:v>
      </x:c>
      <x:c r="J2" s="5" t="s">
        <x:v>163</x:v>
      </x:c>
      <x:c r="K2" s="5" t="s">
        <x:v>164</x:v>
      </x:c>
      <x:c r="L2" s="5" t="s">
        <x:v>10</x:v>
      </x:c>
      <x:c r="M2" s="5" t="s">
        <x:v>10</x:v>
      </x:c>
      <x:c r="N2" s="5" t="s">
        <x:v>165</x:v>
      </x:c>
      <x:c r="O2" s="5" t="s">
        <x:v>10</x:v>
      </x:c>
      <x:c r="P2" s="5" t="e">
        <x:f>HYPERLINK("https://www.ahajournals.org/doi/pdf/10.1161/HYP.0000000000000254","打开链接")</x:f>
      </x:c>
      <x:c r="Q2" s="5" t="e">
        <x:f>HYPERLINK("https://professional.heart.org/en/science-news/cuffless-devices-for-the-measurement-of-blood-pressure","打开链接")</x:f>
      </x:c>
      <x:c r="R2" s="5" t="s">
        <x:v>166</x:v>
      </x:c>
      <x:c r="S2" s="6" t="s">
        <x:v>167</x:v>
      </x:c>
    </x:row>
    <x:row r="3" ht="20" customHeight="1">
      <x:c r="A3" s="4" t="s">
        <x:v>156</x:v>
      </x:c>
      <x:c r="B3" s="5" t="s">
        <x:v>157</x:v>
      </x:c>
      <x:c r="C3" s="5" t="s">
        <x:v>168</x:v>
      </x:c>
      <x:c r="D3" s="5" t="s">
        <x:v>169</x:v>
      </x:c>
      <x:c r="E3" s="5" t="s">
        <x:v>170</x:v>
      </x:c>
      <x:c r="F3" s="5" t="s">
        <x:v>81</x:v>
      </x:c>
      <x:c r="G3" s="5" t="s">
        <x:v>171</x:v>
      </x:c>
      <x:c r="H3" s="5" t="s">
        <x:v>108</x:v>
      </x:c>
      <x:c r="I3" s="5" t="s">
        <x:v>10</x:v>
      </x:c>
      <x:c r="J3" s="5" t="s">
        <x:v>163</x:v>
      </x:c>
      <x:c r="K3" s="5" t="s">
        <x:v>164</x:v>
      </x:c>
      <x:c r="L3" s="5" t="s">
        <x:v>10</x:v>
      </x:c>
      <x:c r="M3" s="5" t="s">
        <x:v>10</x:v>
      </x:c>
      <x:c r="N3" s="5" t="s">
        <x:v>172</x:v>
      </x:c>
      <x:c r="O3" s="5" t="s">
        <x:v>10</x:v>
      </x:c>
      <x:c r="P3" s="5" t="e">
        <x:f>HYPERLINK("https://www.sciopen.com/article/pdf/10.26599/1671-5411.2025.01.008","打开链接")</x:f>
      </x:c>
      <x:c r="Q3" s="5" t="e">
        <x:f>HYPERLINK("https://www.sciopen.com/article/10.26599/1671-5411.2025.01.008","打开链接")</x:f>
      </x:c>
      <x:c r="R3" s="5" t="s">
        <x:v>173</x:v>
      </x:c>
      <x:c r="S3" s="6" t="s">
        <x:v>167</x:v>
      </x:c>
    </x:row>
    <x:row r="4" ht="20" customHeight="1">
      <x:c r="A4" s="4" t="s">
        <x:v>174</x:v>
      </x:c>
      <x:c r="B4" s="5" t="s">
        <x:v>157</x:v>
      </x:c>
      <x:c r="C4" s="5" t="s">
        <x:v>175</x:v>
      </x:c>
      <x:c r="D4" s="5" t="s">
        <x:v>176</x:v>
      </x:c>
      <x:c r="E4" s="5" t="s">
        <x:v>177</x:v>
      </x:c>
      <x:c r="F4" s="5" t="s">
        <x:v>81</x:v>
      </x:c>
      <x:c r="G4" s="5" t="s">
        <x:v>171</x:v>
      </x:c>
      <x:c r="H4" s="5" t="s">
        <x:v>83</x:v>
      </x:c>
      <x:c r="I4" s="5" t="s">
        <x:v>84</x:v>
      </x:c>
      <x:c r="J4" s="5" t="s">
        <x:v>163</x:v>
      </x:c>
      <x:c r="K4" s="5" t="s">
        <x:v>164</x:v>
      </x:c>
      <x:c r="L4" s="5" t="s">
        <x:v>10</x:v>
      </x:c>
      <x:c r="M4" s="5" t="s">
        <x:v>10</x:v>
      </x:c>
      <x:c r="N4" s="5" t="s">
        <x:v>178</x:v>
      </x:c>
      <x:c r="O4" s="5" t="s">
        <x:v>10</x:v>
      </x:c>
      <x:c r="P4" s="5" t="e">
        <x:f>HYPERLINK("https://www.ahajournals.org/doi/pdf/10.1161/CIR.0000000000001356","打开链接")</x:f>
      </x:c>
      <x:c r="Q4" s="5" t="e">
        <x:f>HYPERLINK("https://professional.heart.org/en/guidelines-statements/2025-ahaaccaanpaapaabcaccpacpmagsamaaspcnmapcnasgim-guideline-for-thehyp0000000000000249","打开链接")</x:f>
      </x:c>
      <x:c r="R4" s="5" t="s">
        <x:v>179</x:v>
      </x:c>
      <x:c r="S4" s="6" t="s">
        <x:v>167</x:v>
      </x:c>
    </x:row>
    <x:row r="5" ht="20" customHeight="1">
      <x:c r="A5" s="4" t="s">
        <x:v>174</x:v>
      </x:c>
      <x:c r="B5" s="5" t="s">
        <x:v>157</x:v>
      </x:c>
      <x:c r="C5" s="5" t="s">
        <x:v>180</x:v>
      </x:c>
      <x:c r="D5" s="5" t="s">
        <x:v>181</x:v>
      </x:c>
      <x:c r="E5" s="5" t="s">
        <x:v>182</x:v>
      </x:c>
      <x:c r="F5" s="5" t="s">
        <x:v>106</x:v>
      </x:c>
      <x:c r="G5" s="5" t="s">
        <x:v>183</x:v>
      </x:c>
      <x:c r="H5" s="5" t="s">
        <x:v>184</x:v>
      </x:c>
      <x:c r="I5" s="5" t="s">
        <x:v>84</x:v>
      </x:c>
      <x:c r="J5" s="5" t="s">
        <x:v>163</x:v>
      </x:c>
      <x:c r="K5" s="5" t="s">
        <x:v>164</x:v>
      </x:c>
      <x:c r="L5" s="5" t="s">
        <x:v>10</x:v>
      </x:c>
      <x:c r="M5" s="5" t="s">
        <x:v>10</x:v>
      </x:c>
      <x:c r="N5" s="5" t="s">
        <x:v>185</x:v>
      </x:c>
      <x:c r="O5" s="5" t="s">
        <x:v>10</x:v>
      </x:c>
      <x:c r="P5" s="5" t="e">
        <x:f>HYPERLINK("https://www.heart.org/-/media/files/health-topics/high-blood-pressure/how_to_measure_your_blood_pressure_letter_size.pdf","打开链接")</x:f>
      </x:c>
      <x:c r="Q5" s="5" t="e">
        <x:f>HYPERLINK("https://www.heart.org/-/media/files/health-topics/high-blood-pressure/how_to_measure_your_blood_pressure_letter_size.pdf","打开链接")</x:f>
      </x:c>
      <x:c r="R5" s="5" t="s">
        <x:v>186</x:v>
      </x:c>
      <x:c r="S5" s="6" t="s">
        <x:v>187</x:v>
      </x:c>
    </x:row>
    <x:row r="6" ht="20" customHeight="1">
      <x:c r="A6" s="4" t="s">
        <x:v>174</x:v>
      </x:c>
      <x:c r="B6" s="5" t="s">
        <x:v>157</x:v>
      </x:c>
      <x:c r="C6" s="5" t="s">
        <x:v>188</x:v>
      </x:c>
      <x:c r="D6" s="5" t="s">
        <x:v>189</x:v>
      </x:c>
      <x:c r="E6" s="5" t="s">
        <x:v>190</x:v>
      </x:c>
      <x:c r="F6" s="5" t="s">
        <x:v>161</x:v>
      </x:c>
      <x:c r="G6" s="5" t="s">
        <x:v>162</x:v>
      </x:c>
      <x:c r="H6" s="5" t="s">
        <x:v>184</x:v>
      </x:c>
      <x:c r="I6" s="5" t="s">
        <x:v>84</x:v>
      </x:c>
      <x:c r="J6" s="5" t="s">
        <x:v>163</x:v>
      </x:c>
      <x:c r="K6" s="5" t="s">
        <x:v>164</x:v>
      </x:c>
      <x:c r="L6" s="5" t="s">
        <x:v>10</x:v>
      </x:c>
      <x:c r="M6" s="5" t="s">
        <x:v>10</x:v>
      </x:c>
      <x:c r="N6" s="5" t="s">
        <x:v>191</x:v>
      </x:c>
      <x:c r="O6" s="5" t="s">
        <x:v>10</x:v>
      </x:c>
      <x:c r="P6" s="5" t="e">
        <x:f>HYPERLINK("https://www.fda.gov/media/190675/download","打开链接")</x:f>
      </x:c>
      <x:c r="Q6" s="5" t="e">
        <x:f>HYPERLINK("https://www.fda.gov/regulatory-information/search-fda-guidance-documents/cuffless-non-invasive-blood-pressure-measuring-devices-clinical-performance-testing-and-evaluation","打开链接")</x:f>
      </x:c>
      <x:c r="R6" s="5" t="s">
        <x:v>192</x:v>
      </x:c>
      <x:c r="S6" s="6" t="s">
        <x:v>187</x:v>
      </x:c>
    </x:row>
    <x:row r="7" ht="20" customHeight="1">
      <x:c r="A7" s="4" t="s">
        <x:v>174</x:v>
      </x:c>
      <x:c r="B7" s="5" t="s">
        <x:v>157</x:v>
      </x:c>
      <x:c r="C7" s="5" t="s">
        <x:v>193</x:v>
      </x:c>
      <x:c r="D7" s="5" t="s">
        <x:v>194</x:v>
      </x:c>
      <x:c r="E7" s="5" t="s">
        <x:v>195</x:v>
      </x:c>
      <x:c r="F7" s="5" t="s">
        <x:v>106</x:v>
      </x:c>
      <x:c r="G7" s="5" t="s">
        <x:v>196</x:v>
      </x:c>
      <x:c r="H7" s="5" t="s">
        <x:v>184</x:v>
      </x:c>
      <x:c r="I7" s="5" t="s">
        <x:v>84</x:v>
      </x:c>
      <x:c r="J7" s="5" t="s">
        <x:v>163</x:v>
      </x:c>
      <x:c r="K7" s="5" t="s">
        <x:v>164</x:v>
      </x:c>
      <x:c r="L7" s="5" t="s">
        <x:v>10</x:v>
      </x:c>
      <x:c r="M7" s="5" t="s">
        <x:v>10</x:v>
      </x:c>
      <x:c r="N7" s="5" t="s">
        <x:v>197</x:v>
      </x:c>
      <x:c r="O7" s="5" t="s">
        <x:v>10</x:v>
      </x:c>
      <x:c r="P7" s="5" t="e">
        <x:f>HYPERLINK("https://www.nhc.gov.cn/fzs/c100048/202509/2f3f7cce449145f8b361e70b3ed4ae9a/files/WS%20T%20872%E2%80%942025-20250930105429913.pdf","打开链接")</x:f>
      </x:c>
      <x:c r="Q7" s="5" t="e">
        <x:f>HYPERLINK("https://www.nhc.gov.cn/fzs/c100048/202509/2f3f7cce449145f8b361e70b3ed4ae9a/files/WS%20T%20872%E2%80%942025-20250930105429913.pdf","打开链接")</x:f>
      </x:c>
      <x:c r="R7" s="5" t="s">
        <x:v>198</x:v>
      </x:c>
      <x:c r="S7" s="6" t="s">
        <x:v>187</x:v>
      </x:c>
    </x:row>
    <x:row r="8" ht="20" customHeight="1">
      <x:c r="A8" s="4" t="s">
        <x:v>76</x:v>
      </x:c>
      <x:c r="B8" s="5" t="s">
        <x:v>157</x:v>
      </x:c>
      <x:c r="C8" s="5" t="s">
        <x:v>199</x:v>
      </x:c>
      <x:c r="D8" s="5" t="s">
        <x:v>200</x:v>
      </x:c>
      <x:c r="E8" s="5" t="s">
        <x:v>201</x:v>
      </x:c>
      <x:c r="F8" s="5" t="s">
        <x:v>95</x:v>
      </x:c>
      <x:c r="G8" s="5" t="s">
        <x:v>202</x:v>
      </x:c>
      <x:c r="H8" s="5" t="s">
        <x:v>184</x:v>
      </x:c>
      <x:c r="I8" s="5" t="s">
        <x:v>84</x:v>
      </x:c>
      <x:c r="J8" s="5" t="s">
        <x:v>163</x:v>
      </x:c>
      <x:c r="K8" s="5" t="s">
        <x:v>164</x:v>
      </x:c>
      <x:c r="L8" s="5" t="s">
        <x:v>10</x:v>
      </x:c>
      <x:c r="M8" s="5" t="s">
        <x:v>10</x:v>
      </x:c>
      <x:c r="N8" s="5" t="s">
        <x:v>203</x:v>
      </x:c>
      <x:c r="O8" s="5" t="s">
        <x:v>10</x:v>
      </x:c>
      <x:c r="P8" s="5" t="e">
        <x:f>HYPERLINK("https://www.heart.org/-/media/GRFW-Files/Know-Your-Risk/Maternal-Health/Pregnancy_Blood_Pressure_Categories.pdf?sc_lang=en","打开链接")</x:f>
      </x:c>
      <x:c r="Q8" s="5" t="e">
        <x:f>HYPERLINK("https://www.heart.org/-/media/GRFW-Files/Know-Your-Risk/Maternal-Health/Pregnancy_Blood_Pressure_Categories.pdf?sc_lang=en","打开链接")</x:f>
      </x:c>
      <x:c r="R8" s="5" t="s">
        <x:v>204</x:v>
      </x:c>
      <x:c r="S8" s="6" t="s">
        <x:v>187</x:v>
      </x:c>
    </x:row>
    <x:row r="9" ht="20" customHeight="1">
      <x:c r="A9" s="4" t="s">
        <x:v>76</x:v>
      </x:c>
      <x:c r="B9" s="5" t="s">
        <x:v>157</x:v>
      </x:c>
      <x:c r="C9" s="5" t="s">
        <x:v>205</x:v>
      </x:c>
      <x:c r="D9" s="5" t="s">
        <x:v>206</x:v>
      </x:c>
      <x:c r="E9" s="5" t="s">
        <x:v>207</x:v>
      </x:c>
      <x:c r="F9" s="5" t="s">
        <x:v>208</x:v>
      </x:c>
      <x:c r="G9" s="5" t="s">
        <x:v>208</x:v>
      </x:c>
      <x:c r="H9" s="5" t="s">
        <x:v>184</x:v>
      </x:c>
      <x:c r="I9" s="5" t="s">
        <x:v>84</x:v>
      </x:c>
      <x:c r="J9" s="5" t="s">
        <x:v>163</x:v>
      </x:c>
      <x:c r="K9" s="5" t="s">
        <x:v>164</x:v>
      </x:c>
      <x:c r="L9" s="5" t="s">
        <x:v>10</x:v>
      </x:c>
      <x:c r="M9" s="5" t="s">
        <x:v>10</x:v>
      </x:c>
      <x:c r="N9" s="5" t="s">
        <x:v>209</x:v>
      </x:c>
      <x:c r="O9" s="5" t="s">
        <x:v>10</x:v>
      </x:c>
      <x:c r="P9" s="5" t="e">
        <x:f>HYPERLINK("https://www.heart.org/-/media/files/health-topics/answers-by-heart/how-can-i-reduce-high-blood-pressure.pdf","打开链接")</x:f>
      </x:c>
      <x:c r="Q9" s="5" t="e">
        <x:f>HYPERLINK("https://www.heart.org/-/media/files/health-topics/answers-by-heart/how-can-i-reduce-high-blood-pressure.pdf","打开链接")</x:f>
      </x:c>
      <x:c r="R9" s="5" t="s">
        <x:v>210</x:v>
      </x:c>
      <x:c r="S9" s="6" t="s">
        <x:v>187</x:v>
      </x:c>
    </x:row>
    <x:row r="10" ht="20" customHeight="1">
      <x:c r="A10" s="4" t="s">
        <x:v>76</x:v>
      </x:c>
      <x:c r="B10" s="5" t="s">
        <x:v>157</x:v>
      </x:c>
      <x:c r="C10" s="5" t="s">
        <x:v>211</x:v>
      </x:c>
      <x:c r="D10" s="5" t="s">
        <x:v>212</x:v>
      </x:c>
      <x:c r="E10" s="5" t="s">
        <x:v>213</x:v>
      </x:c>
      <x:c r="F10" s="5" t="s">
        <x:v>208</x:v>
      </x:c>
      <x:c r="G10" s="5" t="s">
        <x:v>208</x:v>
      </x:c>
      <x:c r="H10" s="5" t="s">
        <x:v>184</x:v>
      </x:c>
      <x:c r="I10" s="5" t="s">
        <x:v>84</x:v>
      </x:c>
      <x:c r="J10" s="5" t="s">
        <x:v>163</x:v>
      </x:c>
      <x:c r="K10" s="5" t="s">
        <x:v>164</x:v>
      </x:c>
      <x:c r="L10" s="5" t="s">
        <x:v>10</x:v>
      </x:c>
      <x:c r="M10" s="5" t="s">
        <x:v>10</x:v>
      </x:c>
      <x:c r="N10" s="5" t="s">
        <x:v>214</x:v>
      </x:c>
      <x:c r="O10" s="5" t="s">
        <x:v>10</x:v>
      </x:c>
      <x:c r="P10" s="5" t="e">
        <x:f>HYPERLINK("https://www.heart.org/-/media/Files/Health-Topics/High-Blood-Pressure/Steps-To-Improve-High-BP.pdf","打开链接")</x:f>
      </x:c>
      <x:c r="Q10" s="5" t="e">
        <x:f>HYPERLINK("https://www.heart.org/-/media/Files/Health-Topics/High-Blood-Pressure/Steps-To-Improve-High-BP.pdf","打开链接")</x:f>
      </x:c>
      <x:c r="R10" s="5" t="s">
        <x:v>215</x:v>
      </x:c>
      <x:c r="S10" s="6" t="s">
        <x:v>187</x:v>
      </x:c>
    </x:row>
    <x:row r="11" ht="20" customHeight="1">
      <x:c r="A11" s="4" t="s">
        <x:v>76</x:v>
      </x:c>
      <x:c r="B11" s="5" t="s">
        <x:v>157</x:v>
      </x:c>
      <x:c r="C11" s="5" t="s">
        <x:v>216</x:v>
      </x:c>
      <x:c r="D11" s="5" t="s">
        <x:v>217</x:v>
      </x:c>
      <x:c r="E11" s="5" t="s">
        <x:v>218</x:v>
      </x:c>
      <x:c r="F11" s="5" t="s">
        <x:v>106</x:v>
      </x:c>
      <x:c r="G11" s="5" t="s">
        <x:v>183</x:v>
      </x:c>
      <x:c r="H11" s="5" t="s">
        <x:v>184</x:v>
      </x:c>
      <x:c r="I11" s="5" t="s">
        <x:v>84</x:v>
      </x:c>
      <x:c r="J11" s="5" t="s">
        <x:v>163</x:v>
      </x:c>
      <x:c r="K11" s="5" t="s">
        <x:v>164</x:v>
      </x:c>
      <x:c r="L11" s="5" t="s">
        <x:v>10</x:v>
      </x:c>
      <x:c r="M11" s="5" t="s">
        <x:v>10</x:v>
      </x:c>
      <x:c r="N11" s="5" t="s">
        <x:v>219</x:v>
      </x:c>
      <x:c r="O11" s="5" t="s">
        <x:v>10</x:v>
      </x:c>
      <x:c r="P11" s="5" t="e">
        <x:f>HYPERLINK("https://www.nccd.org.cn/UploadFile/201504/20150416170041172172.pdf","打开链接")</x:f>
      </x:c>
      <x:c r="Q11" s="5" t="e">
        <x:f>HYPERLINK("https://www.nccd.org.cn/UploadFile/201504/20150416170041172172.pdf","打开链接")</x:f>
      </x:c>
      <x:c r="R11" s="5" t="s">
        <x:v>220</x:v>
      </x:c>
      <x:c r="S11" s="6" t="s">
        <x:v>187</x:v>
      </x:c>
    </x:row>
    <x:row r="12" ht="20" customHeight="1">
      <x:c r="A12" s="4" t="s">
        <x:v>76</x:v>
      </x:c>
      <x:c r="B12" s="5" t="s">
        <x:v>157</x:v>
      </x:c>
      <x:c r="C12" s="5" t="s">
        <x:v>221</x:v>
      </x:c>
      <x:c r="D12" s="5" t="s">
        <x:v>222</x:v>
      </x:c>
      <x:c r="E12" s="5" t="s">
        <x:v>223</x:v>
      </x:c>
      <x:c r="F12" s="5" t="s">
        <x:v>95</x:v>
      </x:c>
      <x:c r="G12" s="5" t="s">
        <x:v>224</x:v>
      </x:c>
      <x:c r="H12" s="5" t="s">
        <x:v>184</x:v>
      </x:c>
      <x:c r="I12" s="5" t="s">
        <x:v>84</x:v>
      </x:c>
      <x:c r="J12" s="5" t="s">
        <x:v>163</x:v>
      </x:c>
      <x:c r="K12" s="5" t="s">
        <x:v>164</x:v>
      </x:c>
      <x:c r="L12" s="5" t="s">
        <x:v>10</x:v>
      </x:c>
      <x:c r="M12" s="5" t="s">
        <x:v>10</x:v>
      </x:c>
      <x:c r="N12" s="5" t="s">
        <x:v>225</x:v>
      </x:c>
      <x:c r="O12" s="5" t="s">
        <x:v>10</x:v>
      </x:c>
      <x:c r="P12" s="5" t="e">
        <x:f>HYPERLINK("https://medtion-image.medtion.com/uploads/1/file/public/202312/20231222151125_hjo32b9lsf.pdf","打开链接")</x:f>
      </x:c>
      <x:c r="Q12" s="5" t="e">
        <x:f>HYPERLINK("https://medtion-image.medtion.com/uploads/1/file/public/202312/20231222151125_hjo32b9lsf.pdf","打开链接")</x:f>
      </x:c>
      <x:c r="R12" s="5" t="s">
        <x:v>226</x:v>
      </x:c>
      <x:c r="S12" s="6" t="s">
        <x:v>187</x:v>
      </x:c>
    </x:row>
    <x:row r="13" ht="20" customHeight="1">
      <x:c r="A13" s="44" t="s">
        <x:v>76</x:v>
      </x:c>
      <x:c r="B13" s="45" t="str">
        <x:v>无法下载</x:v>
      </x:c>
      <x:c r="C13" s="45" t="s">
        <x:v>78</x:v>
      </x:c>
      <x:c r="D13" s="45" t="s">
        <x:v>227</x:v>
      </x:c>
      <x:c r="E13" s="45" t="s">
        <x:v>79</x:v>
      </x:c>
      <x:c r="F13" s="45" t="s">
        <x:v>81</x:v>
      </x:c>
      <x:c r="G13" s="45" t="s">
        <x:v>82</x:v>
      </x:c>
      <x:c r="H13" s="45" t="s">
        <x:v>83</x:v>
      </x:c>
      <x:c r="I13" s="45" t="s">
        <x:v>84</x:v>
      </x:c>
      <x:c r="J13" s="45" t="s">
        <x:v>85</x:v>
      </x:c>
      <x:c r="K13" s="45" t="s">
        <x:v>86</x:v>
      </x:c>
      <x:c r="L13" s="45" t="s">
        <x:v>84</x:v>
      </x:c>
      <x:c r="M13" s="45" t="s">
        <x:v>84</x:v>
      </x:c>
      <x:c r="N13" s="45"/>
      <x:c r="O13" s="45" t="s">
        <x:v>84</x:v>
      </x:c>
      <x:c r="P13" s="45" t="e">
        <x:f>HYPERLINK("https://www.escardio.org/static-file/Escardio/Guidelines/Products/Essential%20Messages/2024%20EM/Essential%20Messages_2024%20HTN.pdf","打开链接")</x:f>
      </x:c>
      <x:c r="Q13" s="45" t="e">
        <x:f>HYPERLINK("https://www.acc.org/Latest-in-Cardiology/ten-points-to-remember/2024/09/05/14/11/2024-esc-guidelines-for-bp-esc-2024","打开链接")</x:f>
      </x:c>
      <x:c r="R13" s="45" t="s">
        <x:v>87</x:v>
      </x:c>
      <x:c r="S13" s="46" t="s">
        <x:v>167</x:v>
      </x:c>
    </x:row>
    <x:row r="14" ht="20" customHeight="1">
      <x:c r="A14" s="4" t="s">
        <x:v>76</x:v>
      </x:c>
      <x:c r="B14" s="5" t="s">
        <x:v>157</x:v>
      </x:c>
      <x:c r="C14" s="5" t="s">
        <x:v>228</x:v>
      </x:c>
      <x:c r="D14" s="5" t="s">
        <x:v>229</x:v>
      </x:c>
      <x:c r="E14" s="5" t="s">
        <x:v>230</x:v>
      </x:c>
      <x:c r="F14" s="5" t="s">
        <x:v>208</x:v>
      </x:c>
      <x:c r="G14" s="5" t="s">
        <x:v>231</x:v>
      </x:c>
      <x:c r="H14" s="5" t="s">
        <x:v>184</x:v>
      </x:c>
      <x:c r="I14" s="5" t="s">
        <x:v>84</x:v>
      </x:c>
      <x:c r="J14" s="5" t="s">
        <x:v>163</x:v>
      </x:c>
      <x:c r="K14" s="5" t="s">
        <x:v>164</x:v>
      </x:c>
      <x:c r="L14" s="5" t="s">
        <x:v>10</x:v>
      </x:c>
      <x:c r="M14" s="5" t="s">
        <x:v>10</x:v>
      </x:c>
      <x:c r="N14" s="5" t="s">
        <x:v>232</x:v>
      </x:c>
      <x:c r="O14" s="5" t="s">
        <x:v>10</x:v>
      </x:c>
      <x:c r="P14" s="5" t="e">
        <x:f>HYPERLINK("https://www.gov.cn/zhengce/zhengceku/202407/P020240701700333981869.pdf","打开链接")</x:f>
      </x:c>
      <x:c r="Q14" s="5" t="e">
        <x:f>HYPERLINK("https://app.www.gov.cn/govdata/gov/202407/02/516820/article.html","打开链接")</x:f>
      </x:c>
      <x:c r="R14" s="5" t="s">
        <x:v>233</x:v>
      </x:c>
      <x:c r="S14" s="6" t="s">
        <x:v>4</x:v>
      </x:c>
    </x:row>
    <x:row r="15" ht="20" customHeight="1">
      <x:c r="A15" s="4" t="s">
        <x:v>76</x:v>
      </x:c>
      <x:c r="B15" s="5" t="s">
        <x:v>157</x:v>
      </x:c>
      <x:c r="C15" s="5" t="s">
        <x:v>234</x:v>
      </x:c>
      <x:c r="D15" s="5" t="s">
        <x:v>235</x:v>
      </x:c>
      <x:c r="E15" s="5" t="s">
        <x:v>236</x:v>
      </x:c>
      <x:c r="F15" s="5" t="s">
        <x:v>208</x:v>
      </x:c>
      <x:c r="G15" s="5" t="s">
        <x:v>208</x:v>
      </x:c>
      <x:c r="H15" s="5" t="s">
        <x:v>184</x:v>
      </x:c>
      <x:c r="I15" s="5" t="s">
        <x:v>84</x:v>
      </x:c>
      <x:c r="J15" s="5" t="s">
        <x:v>163</x:v>
      </x:c>
      <x:c r="K15" s="5" t="s">
        <x:v>164</x:v>
      </x:c>
      <x:c r="L15" s="5" t="s">
        <x:v>10</x:v>
      </x:c>
      <x:c r="M15" s="5" t="s">
        <x:v>10</x:v>
      </x:c>
      <x:c r="N15" s="5" t="s">
        <x:v>237</x:v>
      </x:c>
      <x:c r="O15" s="5" t="s">
        <x:v>10</x:v>
      </x:c>
      <x:c r="P15" s="5" t="e">
        <x:f>HYPERLINK("https://www.nhlbi.nih.gov/files/docs/public/heart/new_dash.pdf","打开链接")</x:f>
      </x:c>
      <x:c r="Q15" s="5" t="e">
        <x:f>HYPERLINK("https://www.nhlbi.nih.gov/files/docs/public/heart/new_dash.pdf","打开链接")</x:f>
      </x:c>
      <x:c r="R15" s="5" t="s">
        <x:v>238</x:v>
      </x:c>
      <x:c r="S15" s="6" t="s">
        <x:v>187</x:v>
      </x:c>
    </x:row>
    <x:row r="16" ht="20" customHeight="1">
      <x:c r="A16" s="4" t="s">
        <x:v>76</x:v>
      </x:c>
      <x:c r="B16" s="5" t="s">
        <x:v>157</x:v>
      </x:c>
      <x:c r="C16" s="5" t="s">
        <x:v>239</x:v>
      </x:c>
      <x:c r="D16" s="5" t="s">
        <x:v>240</x:v>
      </x:c>
      <x:c r="E16" s="5" t="s">
        <x:v>241</x:v>
      </x:c>
      <x:c r="F16" s="5" t="s">
        <x:v>106</x:v>
      </x:c>
      <x:c r="G16" s="5" t="s">
        <x:v>242</x:v>
      </x:c>
      <x:c r="H16" s="5" t="s">
        <x:v>97</x:v>
      </x:c>
      <x:c r="I16" s="5" t="s">
        <x:v>84</x:v>
      </x:c>
      <x:c r="J16" s="5" t="s">
        <x:v>163</x:v>
      </x:c>
      <x:c r="K16" s="5" t="s">
        <x:v>164</x:v>
      </x:c>
      <x:c r="L16" s="5" t="s">
        <x:v>10</x:v>
      </x:c>
      <x:c r="M16" s="5" t="s">
        <x:v>10</x:v>
      </x:c>
      <x:c r="N16" s="5" t="s">
        <x:v>243</x:v>
      </x:c>
      <x:c r="O16" s="5" t="s">
        <x:v>10</x:v>
      </x:c>
      <x:c r="P16" s="5"/>
      <x:c r="Q16" s="5" t="e">
        <x:f>HYPERLINK("https://www.nice.org.uk/guidance/ng136/chapter/1-Recommendations","打开链接")</x:f>
      </x:c>
      <x:c r="R16" s="5" t="s">
        <x:v>244</x:v>
      </x:c>
      <x:c r="S16" s="6" t="s">
        <x:v>167</x:v>
      </x:c>
    </x:row>
    <x:row r="17" ht="20" customHeight="1">
      <x:c r="A17" s="4" t="s">
        <x:v>76</x:v>
      </x:c>
      <x:c r="B17" s="5" t="s">
        <x:v>157</x:v>
      </x:c>
      <x:c r="C17" s="5" t="s">
        <x:v>245</x:v>
      </x:c>
      <x:c r="D17" s="5" t="s">
        <x:v>246</x:v>
      </x:c>
      <x:c r="E17" s="5" t="s">
        <x:v>247</x:v>
      </x:c>
      <x:c r="F17" s="5" t="s">
        <x:v>106</x:v>
      </x:c>
      <x:c r="G17" s="5" t="s">
        <x:v>248</x:v>
      </x:c>
      <x:c r="H17" s="5" t="s">
        <x:v>97</x:v>
      </x:c>
      <x:c r="I17" s="5" t="s">
        <x:v>84</x:v>
      </x:c>
      <x:c r="J17" s="5" t="s">
        <x:v>163</x:v>
      </x:c>
      <x:c r="K17" s="5" t="s">
        <x:v>164</x:v>
      </x:c>
      <x:c r="L17" s="5" t="s">
        <x:v>10</x:v>
      </x:c>
      <x:c r="M17" s="5" t="s">
        <x:v>10</x:v>
      </x:c>
      <x:c r="N17" s="5" t="s">
        <x:v>249</x:v>
      </x:c>
      <x:c r="O17" s="5" t="s">
        <x:v>10</x:v>
      </x:c>
      <x:c r="P17" s="5" t="e">
        <x:f>HYPERLINK("https://www.uspreventiveservicestaskforce.org/home/getfilebytoken/5P_7f2rbEquA-ZR-fJJfHK","打开链接")</x:f>
      </x:c>
      <x:c r="Q17" s="5" t="e">
        <x:f>HYPERLINK("https://www.uspreventiveservicestaskforce.org/uspstf/recommendation/hypertension-in-adults-screening","打开链接")</x:f>
      </x:c>
      <x:c r="R17" s="5" t="s">
        <x:v>250</x:v>
      </x:c>
      <x:c r="S17" s="6" t="s">
        <x:v>4</x:v>
      </x:c>
    </x:row>
    <x:row r="18" ht="20" customHeight="1">
      <x:c r="A18" s="4" t="s">
        <x:v>76</x:v>
      </x:c>
      <x:c r="B18" s="5" t="s">
        <x:v>157</x:v>
      </x:c>
      <x:c r="C18" s="5" t="s">
        <x:v>251</x:v>
      </x:c>
      <x:c r="D18" s="5" t="s">
        <x:v>252</x:v>
      </x:c>
      <x:c r="E18" s="5" t="s">
        <x:v>253</x:v>
      </x:c>
      <x:c r="F18" s="5" t="s">
        <x:v>254</x:v>
      </x:c>
      <x:c r="G18" s="5" t="s">
        <x:v>255</x:v>
      </x:c>
      <x:c r="H18" s="5" t="s">
        <x:v>256</x:v>
      </x:c>
      <x:c r="I18" s="5" t="s">
        <x:v>84</x:v>
      </x:c>
      <x:c r="J18" s="5" t="s">
        <x:v>163</x:v>
      </x:c>
      <x:c r="K18" s="5" t="s">
        <x:v>164</x:v>
      </x:c>
      <x:c r="L18" s="5" t="s">
        <x:v>10</x:v>
      </x:c>
      <x:c r="M18" s="5" t="s">
        <x:v>10</x:v>
      </x:c>
      <x:c r="N18" s="5" t="s">
        <x:v>257</x:v>
      </x:c>
      <x:c r="O18" s="5" t="s">
        <x:v>10</x:v>
      </x:c>
      <x:c r="P18" s="5" t="e">
        <x:f>HYPERLINK("https://iris.who.int/server/api/core/bitstreams/9647149d-e9fd-422f-a27d-ca2a9c2f9696/content","打开链接")</x:f>
      </x:c>
      <x:c r="Q18" s="5" t="e">
        <x:f>HYPERLINK("https://www.who.int/publications/i/item/9789240002654","打开链接")</x:f>
      </x:c>
      <x:c r="R18" s="5" t="s">
        <x:v>258</x:v>
      </x:c>
      <x:c r="S18" s="6" t="s">
        <x:v>4</x:v>
      </x:c>
    </x:row>
    <x:row r="19" ht="20" customHeight="1">
      <x:c r="A19" s="50" t="s">
        <x:v>90</x:v>
      </x:c>
      <x:c r="B19" s="51" t="str">
        <x:v>已下载待摘要</x:v>
      </x:c>
      <x:c r="C19" s="51" t="s">
        <x:v>92</x:v>
      </x:c>
      <x:c r="D19" s="51" t="s">
        <x:v>259</x:v>
      </x:c>
      <x:c r="E19" s="51" t="s">
        <x:v>93</x:v>
      </x:c>
      <x:c r="F19" s="51" t="s">
        <x:v>95</x:v>
      </x:c>
      <x:c r="G19" s="51" t="s">
        <x:v>96</x:v>
      </x:c>
      <x:c r="H19" s="51" t="s">
        <x:v>97</x:v>
      </x:c>
      <x:c r="I19" s="51" t="s">
        <x:v>84</x:v>
      </x:c>
      <x:c r="J19" s="51" t="s">
        <x:v>98</x:v>
      </x:c>
      <x:c r="K19" s="51" t="s">
        <x:v>86</x:v>
      </x:c>
      <x:c r="L19" s="51" t="s">
        <x:v>84</x:v>
      </x:c>
      <x:c r="M19" s="51" t="str">
        <x:v>是</x:v>
      </x:c>
      <x:c r="N19" s="51"/>
      <x:c r="O19" s="51" t="str">
        <x:v>否</x:v>
      </x:c>
      <x:c r="P19" s="51"/>
      <x:c r="Q19" s="51" t="e">
        <x:f>HYPERLINK("https://pmc.ncbi.nlm.nih.gov/articles/PMC12690187/","打开链接")</x:f>
      </x:c>
      <x:c r="R19" s="51" t="s">
        <x:v>99</x:v>
      </x:c>
      <x:c r="S19" s="52" t="s">
        <x:v>167</x:v>
      </x:c>
    </x:row>
    <x:row r="20" ht="20" customHeight="1">
      <x:c r="A20" s="4" t="s">
        <x:v>90</x:v>
      </x:c>
      <x:c r="B20" s="5" t="s">
        <x:v>157</x:v>
      </x:c>
      <x:c r="C20" s="5" t="s">
        <x:v>260</x:v>
      </x:c>
      <x:c r="D20" s="5" t="s">
        <x:v>261</x:v>
      </x:c>
      <x:c r="E20" s="5" t="s">
        <x:v>262</x:v>
      </x:c>
      <x:c r="F20" s="5" t="s">
        <x:v>208</x:v>
      </x:c>
      <x:c r="G20" s="5" t="s">
        <x:v>208</x:v>
      </x:c>
      <x:c r="H20" s="5" t="s">
        <x:v>184</x:v>
      </x:c>
      <x:c r="I20" s="5" t="s">
        <x:v>84</x:v>
      </x:c>
      <x:c r="J20" s="5" t="s">
        <x:v>163</x:v>
      </x:c>
      <x:c r="K20" s="5" t="s">
        <x:v>164</x:v>
      </x:c>
      <x:c r="L20" s="5" t="s">
        <x:v>10</x:v>
      </x:c>
      <x:c r="M20" s="5" t="s">
        <x:v>10</x:v>
      </x:c>
      <x:c r="N20" s="5" t="s">
        <x:v>263</x:v>
      </x:c>
      <x:c r="O20" s="5" t="s">
        <x:v>10</x:v>
      </x:c>
      <x:c r="P20" s="5" t="e">
        <x:f>HYPERLINK("https://www.heart.org/-/media/Healthy-Living-Files/LE8-Fact-Sheets/LE8_How_To_Manage_Blood_Pressure.pdf","打开链接")</x:f>
      </x:c>
      <x:c r="Q20" s="5" t="e">
        <x:f>HYPERLINK("https://www.heart.org/-/media/Healthy-Living-Files/LE8-Fact-Sheets/LE8_How_To_Manage_Blood_Pressure.pdf","打开链接")</x:f>
      </x:c>
      <x:c r="R20" s="5" t="s">
        <x:v>264</x:v>
      </x:c>
      <x:c r="S20" s="6" t="s">
        <x:v>187</x:v>
      </x:c>
    </x:row>
    <x:row r="21" ht="20" customHeight="1">
      <x:c r="A21" s="4" t="s">
        <x:v>90</x:v>
      </x:c>
      <x:c r="B21" s="5" t="s">
        <x:v>157</x:v>
      </x:c>
      <x:c r="C21" s="5" t="s">
        <x:v>265</x:v>
      </x:c>
      <x:c r="D21" s="5" t="s">
        <x:v>266</x:v>
      </x:c>
      <x:c r="E21" s="5" t="s">
        <x:v>267</x:v>
      </x:c>
      <x:c r="F21" s="5" t="s">
        <x:v>106</x:v>
      </x:c>
      <x:c r="G21" s="5" t="s">
        <x:v>268</x:v>
      </x:c>
      <x:c r="H21" s="5" t="s">
        <x:v>184</x:v>
      </x:c>
      <x:c r="I21" s="5" t="s">
        <x:v>84</x:v>
      </x:c>
      <x:c r="J21" s="5" t="s">
        <x:v>163</x:v>
      </x:c>
      <x:c r="K21" s="5" t="s">
        <x:v>164</x:v>
      </x:c>
      <x:c r="L21" s="5" t="s">
        <x:v>10</x:v>
      </x:c>
      <x:c r="M21" s="5" t="s">
        <x:v>10</x:v>
      </x:c>
      <x:c r="N21" s="5" t="s">
        <x:v>269</x:v>
      </x:c>
      <x:c r="O21" s="5" t="s">
        <x:v>10</x:v>
      </x:c>
      <x:c r="P21" s="5" t="e">
        <x:f>HYPERLINK("https://www.cdc.gov/heart-disease/docs/Managing_My_Blood_Pressure.pdf","打开链接")</x:f>
      </x:c>
      <x:c r="Q21" s="5" t="e">
        <x:f>HYPERLINK("https://www.cdc.gov/heart-disease/docs/Managing_My_Blood_Pressure.pdf","打开链接")</x:f>
      </x:c>
      <x:c r="R21" s="5" t="s">
        <x:v>270</x:v>
      </x:c>
      <x:c r="S21" s="6" t="s">
        <x:v>187</x:v>
      </x:c>
    </x:row>
    <x:row r="22" ht="20" customHeight="1">
      <x:c r="A22" s="4" t="s">
        <x:v>90</x:v>
      </x:c>
      <x:c r="B22" s="5" t="s">
        <x:v>157</x:v>
      </x:c>
      <x:c r="C22" s="5" t="s">
        <x:v>271</x:v>
      </x:c>
      <x:c r="D22" s="5" t="s">
        <x:v>272</x:v>
      </x:c>
      <x:c r="E22" s="5" t="s">
        <x:v>273</x:v>
      </x:c>
      <x:c r="F22" s="5" t="s">
        <x:v>208</x:v>
      </x:c>
      <x:c r="G22" s="5" t="s">
        <x:v>274</x:v>
      </x:c>
      <x:c r="H22" s="5" t="s">
        <x:v>184</x:v>
      </x:c>
      <x:c r="I22" s="5" t="s">
        <x:v>84</x:v>
      </x:c>
      <x:c r="J22" s="5" t="s">
        <x:v>163</x:v>
      </x:c>
      <x:c r="K22" s="5" t="s">
        <x:v>164</x:v>
      </x:c>
      <x:c r="L22" s="5" t="s">
        <x:v>10</x:v>
      </x:c>
      <x:c r="M22" s="5" t="s">
        <x:v>10</x:v>
      </x:c>
      <x:c r="N22" s="5" t="s">
        <x:v>275</x:v>
      </x:c>
      <x:c r="O22" s="5" t="s">
        <x:v>10</x:v>
      </x:c>
      <x:c r="P22" s="5" t="e">
        <x:f>HYPERLINK("https://www.nccd.org.cn/UploadFile/201504/20150418172843860860.pdf","打开链接")</x:f>
      </x:c>
      <x:c r="Q22" s="5" t="e">
        <x:f>HYPERLINK("https://www.nccd.org.cn/UploadFile/201504/20150418172843860860.pdf","打开链接")</x:f>
      </x:c>
      <x:c r="R22" s="5" t="s">
        <x:v>276</x:v>
      </x:c>
      <x:c r="S22" s="6" t="s">
        <x:v>187</x:v>
      </x:c>
    </x:row>
    <x:row r="23" ht="20" customHeight="1">
      <x:c r="A23" s="35" t="s">
        <x:v>90</x:v>
      </x:c>
      <x:c r="B23" s="36" t="str">
        <x:v>已下载待摘要</x:v>
      </x:c>
      <x:c r="C23" s="36" t="s">
        <x:v>103</x:v>
      </x:c>
      <x:c r="D23" s="36" t="s">
        <x:v>277</x:v>
      </x:c>
      <x:c r="E23" s="36" t="s">
        <x:v>104</x:v>
      </x:c>
      <x:c r="F23" s="36" t="s">
        <x:v>106</x:v>
      </x:c>
      <x:c r="G23" s="36" t="s">
        <x:v>107</x:v>
      </x:c>
      <x:c r="H23" s="36" t="s">
        <x:v>108</x:v>
      </x:c>
      <x:c r="I23" s="36" t="s">
        <x:v>10</x:v>
      </x:c>
      <x:c r="J23" s="36" t="s">
        <x:v>109</x:v>
      </x:c>
      <x:c r="K23" s="36" t="s">
        <x:v>86</x:v>
      </x:c>
      <x:c r="L23" s="36" t="s">
        <x:v>84</x:v>
      </x:c>
      <x:c r="M23" s="36" t="str">
        <x:v>是</x:v>
      </x:c>
      <x:c r="N23" s="36"/>
      <x:c r="O23" s="36" t="str">
        <x:v>否</x:v>
      </x:c>
      <x:c r="P23" s="36"/>
      <x:c r="Q23" s="36" t="e">
        <x:f>HYPERLINK("https://www.eshonline.org/guidelines/","打开链接")</x:f>
      </x:c>
      <x:c r="R23" s="36" t="s">
        <x:v>110</x:v>
      </x:c>
      <x:c r="S23" s="37" t="s">
        <x:v>167</x:v>
      </x:c>
    </x:row>
    <x:row r="24" ht="20" customHeight="1">
      <x:c r="A24" s="4" t="s">
        <x:v>90</x:v>
      </x:c>
      <x:c r="B24" s="5" t="s">
        <x:v>157</x:v>
      </x:c>
      <x:c r="C24" s="5" t="s">
        <x:v>278</x:v>
      </x:c>
      <x:c r="D24" s="5" t="s">
        <x:v>279</x:v>
      </x:c>
      <x:c r="E24" s="5" t="s">
        <x:v>280</x:v>
      </x:c>
      <x:c r="F24" s="5" t="s">
        <x:v>106</x:v>
      </x:c>
      <x:c r="G24" s="5" t="s">
        <x:v>196</x:v>
      </x:c>
      <x:c r="H24" s="5" t="s">
        <x:v>184</x:v>
      </x:c>
      <x:c r="I24" s="5" t="s">
        <x:v>84</x:v>
      </x:c>
      <x:c r="J24" s="5" t="s">
        <x:v>281</x:v>
      </x:c>
      <x:c r="K24" s="5" t="s">
        <x:v>164</x:v>
      </x:c>
      <x:c r="L24" s="5" t="s">
        <x:v>10</x:v>
      </x:c>
      <x:c r="M24" s="5" t="s">
        <x:v>10</x:v>
      </x:c>
      <x:c r="N24" s="5" t="s">
        <x:v>282</x:v>
      </x:c>
      <x:c r="O24" s="5" t="s">
        <x:v>10</x:v>
      </x:c>
      <x:c r="P24" s="5" t="e">
        <x:f>HYPERLINK("https://www.pascar.org/uploads/files/International_Society_of_Hypertension_Global_Guidelines_2020.pdf","打开链接")</x:f>
      </x:c>
      <x:c r="Q24" s="5" t="e">
        <x:f>HYPERLINK("https://ish-world.com/global-hypertension-practice-guidelines/","打开链接")</x:f>
      </x:c>
      <x:c r="R24" s="5" t="s">
        <x:v>283</x:v>
      </x:c>
      <x:c r="S24" s="6" t="s">
        <x:v>167</x:v>
      </x:c>
    </x:row>
    <x:row r="25" ht="20" customHeight="1">
      <x:c r="A25" s="4" t="s">
        <x:v>90</x:v>
      </x:c>
      <x:c r="B25" s="5" t="s">
        <x:v>157</x:v>
      </x:c>
      <x:c r="C25" s="5" t="s">
        <x:v>284</x:v>
      </x:c>
      <x:c r="D25" s="5" t="s">
        <x:v>285</x:v>
      </x:c>
      <x:c r="E25" s="5" t="s">
        <x:v>286</x:v>
      </x:c>
      <x:c r="F25" s="5" t="s">
        <x:v>95</x:v>
      </x:c>
      <x:c r="G25" s="5" t="s">
        <x:v>96</x:v>
      </x:c>
      <x:c r="H25" s="5" t="s">
        <x:v>184</x:v>
      </x:c>
      <x:c r="I25" s="5" t="s">
        <x:v>84</x:v>
      </x:c>
      <x:c r="J25" s="5" t="s">
        <x:v>163</x:v>
      </x:c>
      <x:c r="K25" s="5" t="s">
        <x:v>164</x:v>
      </x:c>
      <x:c r="L25" s="5" t="s">
        <x:v>10</x:v>
      </x:c>
      <x:c r="M25" s="5" t="s">
        <x:v>10</x:v>
      </x:c>
      <x:c r="N25" s="5" t="s">
        <x:v>287</x:v>
      </x:c>
      <x:c r="O25" s="5" t="s">
        <x:v>10</x:v>
      </x:c>
      <x:c r="P25" s="5" t="e">
        <x:f>HYPERLINK("https://kdigo.org/wp-content/uploads/2024/03/KDIGO-2024-CKD-Guideline.pdf","打开链接")</x:f>
      </x:c>
      <x:c r="Q25" s="5" t="e">
        <x:f>HYPERLINK("https://kdigo.org/guidelines/ckd-evaluation-and-management/kdigo-2024-ckd-guideline/","打开链接")</x:f>
      </x:c>
      <x:c r="R25" s="5" t="s">
        <x:v>288</x:v>
      </x:c>
      <x:c r="S25" s="6" t="s">
        <x:v>4</x:v>
      </x:c>
    </x:row>
    <x:row r="26" ht="20" customHeight="1">
      <x:c r="A26" s="4" t="s">
        <x:v>90</x:v>
      </x:c>
      <x:c r="B26" s="5" t="s">
        <x:v>157</x:v>
      </x:c>
      <x:c r="C26" s="5" t="s">
        <x:v>289</x:v>
      </x:c>
      <x:c r="D26" s="5" t="s">
        <x:v>290</x:v>
      </x:c>
      <x:c r="E26" s="5" t="s">
        <x:v>291</x:v>
      </x:c>
      <x:c r="F26" s="5" t="s">
        <x:v>292</x:v>
      </x:c>
      <x:c r="G26" s="5" t="s">
        <x:v>293</x:v>
      </x:c>
      <x:c r="H26" s="5" t="s">
        <x:v>184</x:v>
      </x:c>
      <x:c r="I26" s="5" t="s">
        <x:v>84</x:v>
      </x:c>
      <x:c r="J26" s="5" t="s">
        <x:v>163</x:v>
      </x:c>
      <x:c r="K26" s="5" t="s">
        <x:v>164</x:v>
      </x:c>
      <x:c r="L26" s="5" t="s">
        <x:v>10</x:v>
      </x:c>
      <x:c r="M26" s="5" t="s">
        <x:v>10</x:v>
      </x:c>
      <x:c r="N26" s="5" t="s">
        <x:v>294</x:v>
      </x:c>
      <x:c r="O26" s="5" t="s">
        <x:v>10</x:v>
      </x:c>
      <x:c r="P26" s="5" t="e">
        <x:f>HYPERLINK("https://iris.who.int/bitstreams/f062769d-f075-4a00-87af-0a2106e0bd04/download","打开链接")</x:f>
      </x:c>
      <x:c r="Q26" s="5" t="e">
        <x:f>HYPERLINK("https://iris.who.int/bitstreams/f062769d-f075-4a00-87af-0a2106e0bd04/download","打开链接")</x:f>
      </x:c>
      <x:c r="R26" s="5" t="s">
        <x:v>295</x:v>
      </x:c>
      <x:c r="S26" s="6" t="s">
        <x:v>187</x:v>
      </x:c>
    </x:row>
    <x:row r="27" ht="20" customHeight="1">
      <x:c r="A27" s="35" t="s">
        <x:v>113</x:v>
      </x:c>
      <x:c r="B27" s="36" t="str">
        <x:v>已下载待摘要</x:v>
      </x:c>
      <x:c r="C27" s="36" t="s">
        <x:v>128</x:v>
      </x:c>
      <x:c r="D27" s="36" t="s">
        <x:v>296</x:v>
      </x:c>
      <x:c r="E27" s="36" t="s">
        <x:v>42</x:v>
      </x:c>
      <x:c r="F27" s="36" t="s">
        <x:v>118</x:v>
      </x:c>
      <x:c r="G27" s="36" t="s">
        <x:v>130</x:v>
      </x:c>
      <x:c r="H27" s="36" t="s">
        <x:v>108</x:v>
      </x:c>
      <x:c r="I27" s="36" t="s">
        <x:v>10</x:v>
      </x:c>
      <x:c r="J27" s="36" t="s">
        <x:v>98</x:v>
      </x:c>
      <x:c r="K27" s="36" t="s">
        <x:v>86</x:v>
      </x:c>
      <x:c r="L27" s="36" t="s">
        <x:v>84</x:v>
      </x:c>
      <x:c r="M27" s="36" t="str">
        <x:v>是</x:v>
      </x:c>
      <x:c r="N27" s="36"/>
      <x:c r="O27" s="36" t="str">
        <x:v>否</x:v>
      </x:c>
      <x:c r="P27" s="36" t="e">
        <x:f>HYPERLINK("https://iopscience.iop.org/article/10.1088/0967-3334/28/3/R01/pdf","打开链接")</x:f>
      </x:c>
      <x:c r="Q27" s="36" t="e">
        <x:f>HYPERLINK("https://pubmed.ncbi.nlm.nih.gov/17322588/","打开链接")</x:f>
      </x:c>
      <x:c r="R27" s="36" t="s">
        <x:v>131</x:v>
      </x:c>
      <x:c r="S27" s="37" t="s">
        <x:v>167</x:v>
      </x:c>
    </x:row>
    <x:row r="28" ht="20" customHeight="1">
      <x:c r="A28" s="35" t="s">
        <x:v>113</x:v>
      </x:c>
      <x:c r="B28" s="36" t="str">
        <x:v>已下载待摘要</x:v>
      </x:c>
      <x:c r="C28" s="36" t="s">
        <x:v>123</x:v>
      </x:c>
      <x:c r="D28" s="36" t="s">
        <x:v>297</x:v>
      </x:c>
      <x:c r="E28" s="36" t="s">
        <x:v>38</x:v>
      </x:c>
      <x:c r="F28" s="36" t="s">
        <x:v>118</x:v>
      </x:c>
      <x:c r="G28" s="36" t="s">
        <x:v>119</x:v>
      </x:c>
      <x:c r="H28" s="36" t="s">
        <x:v>97</x:v>
      </x:c>
      <x:c r="I28" s="36" t="s">
        <x:v>84</x:v>
      </x:c>
      <x:c r="J28" s="36" t="s">
        <x:v>98</x:v>
      </x:c>
      <x:c r="K28" s="36" t="s">
        <x:v>86</x:v>
      </x:c>
      <x:c r="L28" s="36" t="s">
        <x:v>84</x:v>
      </x:c>
      <x:c r="M28" s="36" t="str">
        <x:v>是</x:v>
      </x:c>
      <x:c r="N28" s="36"/>
      <x:c r="O28" s="36" t="str">
        <x:v>否</x:v>
      </x:c>
      <x:c r="P28" s="36" t="e">
        <x:f>HYPERLINK("https://www.nature.com/articles/s41746-020-0226-6.pdf","打开链接")</x:f>
      </x:c>
      <x:c r="Q28" s="36" t="e">
        <x:f>HYPERLINK("https://www.nature.com/articles/s41746-020-0226-6","打开链接")</x:f>
      </x:c>
      <x:c r="R28" s="36" t="s">
        <x:v>125</x:v>
      </x:c>
      <x:c r="S28" s="37" t="s">
        <x:v>167</x:v>
      </x:c>
    </x:row>
    <x:row r="29" ht="20" customHeight="1">
      <x:c r="A29" s="26" t="s">
        <x:v>113</x:v>
      </x:c>
      <x:c r="B29" s="27" t="str">
        <x:v>无法下载</x:v>
      </x:c>
      <x:c r="C29" s="27" t="s">
        <x:v>134</x:v>
      </x:c>
      <x:c r="D29" s="27" t="s">
        <x:v>298</x:v>
      </x:c>
      <x:c r="E29" s="27" t="s">
        <x:v>135</x:v>
      </x:c>
      <x:c r="F29" s="27" t="s">
        <x:v>118</x:v>
      </x:c>
      <x:c r="G29" s="27" t="s">
        <x:v>137</x:v>
      </x:c>
      <x:c r="H29" s="27" t="s">
        <x:v>108</x:v>
      </x:c>
      <x:c r="I29" s="27" t="s">
        <x:v>10</x:v>
      </x:c>
      <x:c r="J29" s="27" t="s">
        <x:v>98</x:v>
      </x:c>
      <x:c r="K29" s="27" t="s">
        <x:v>86</x:v>
      </x:c>
      <x:c r="L29" s="27" t="s">
        <x:v>84</x:v>
      </x:c>
      <x:c r="M29" s="27" t="s">
        <x:v>84</x:v>
      </x:c>
      <x:c r="N29" s="27"/>
      <x:c r="O29" s="27" t="s">
        <x:v>84</x:v>
      </x:c>
      <x:c r="P29" s="27" t="e">
        <x:f>HYPERLINK("https://ieeexplore.ieee.org/stamp/stamp.jsp?tp=&amp;arnumber=9016235","打开链接")</x:f>
      </x:c>
      <x:c r="Q29" s="27" t="e">
        <x:f>HYPERLINK("https://ieeexplore.ieee.org/document/9016235","打开链接")</x:f>
      </x:c>
      <x:c r="R29" s="27" t="s">
        <x:v>138</x:v>
      </x:c>
      <x:c r="S29" s="28" t="s">
        <x:v>167</x:v>
      </x:c>
    </x:row>
    <x:row r="30" ht="20" customHeight="1">
      <x:c r="A30" s="4" t="s">
        <x:v>113</x:v>
      </x:c>
      <x:c r="B30" s="5" t="s">
        <x:v>157</x:v>
      </x:c>
      <x:c r="C30" s="5" t="s">
        <x:v>299</x:v>
      </x:c>
      <x:c r="D30" s="5" t="s">
        <x:v>300</x:v>
      </x:c>
      <x:c r="E30" s="5" t="s">
        <x:v>301</x:v>
      </x:c>
      <x:c r="F30" s="5" t="s">
        <x:v>118</x:v>
      </x:c>
      <x:c r="G30" s="5" t="s">
        <x:v>302</x:v>
      </x:c>
      <x:c r="H30" s="5" t="s">
        <x:v>97</x:v>
      </x:c>
      <x:c r="I30" s="5" t="s">
        <x:v>84</x:v>
      </x:c>
      <x:c r="J30" s="5" t="s">
        <x:v>163</x:v>
      </x:c>
      <x:c r="K30" s="5" t="s">
        <x:v>164</x:v>
      </x:c>
      <x:c r="L30" s="5" t="s">
        <x:v>10</x:v>
      </x:c>
      <x:c r="M30" s="5" t="s">
        <x:v>10</x:v>
      </x:c>
      <x:c r="N30" s="5" t="s">
        <x:v>303</x:v>
      </x:c>
      <x:c r="O30" s="5" t="s">
        <x:v>10</x:v>
      </x:c>
      <x:c r="P30" s="5" t="e">
        <x:f>HYPERLINK("https://iopscience.iop.org/article/10.1088/1361-6579/ac6cc4/pdf","打开链接")</x:f>
      </x:c>
      <x:c r="Q30" s="5" t="e">
        <x:f>HYPERLINK("https://pmc.ncbi.nlm.nih.gov/articles/PMC9136485/","打开链接")</x:f>
      </x:c>
      <x:c r="R30" s="5" t="s">
        <x:v>304</x:v>
      </x:c>
      <x:c r="S30" s="6" t="s">
        <x:v>4</x:v>
      </x:c>
    </x:row>
    <x:row r="31" ht="20" customHeight="1">
      <x:c r="A31" s="35" t="s">
        <x:v>113</x:v>
      </x:c>
      <x:c r="B31" s="36" t="str">
        <x:v>已下载待摘要</x:v>
      </x:c>
      <x:c r="C31" s="36" t="s">
        <x:v>146</x:v>
      </x:c>
      <x:c r="D31" s="36" t="s">
        <x:v>305</x:v>
      </x:c>
      <x:c r="E31" s="36" t="s">
        <x:v>147</x:v>
      </x:c>
      <x:c r="F31" s="36" t="s">
        <x:v>118</x:v>
      </x:c>
      <x:c r="G31" s="36" t="s">
        <x:v>137</x:v>
      </x:c>
      <x:c r="H31" s="36" t="s">
        <x:v>108</x:v>
      </x:c>
      <x:c r="I31" s="36" t="s">
        <x:v>10</x:v>
      </x:c>
      <x:c r="J31" s="36" t="s">
        <x:v>98</x:v>
      </x:c>
      <x:c r="K31" s="36" t="s">
        <x:v>86</x:v>
      </x:c>
      <x:c r="L31" s="36" t="s">
        <x:v>84</x:v>
      </x:c>
      <x:c r="M31" s="36" t="str">
        <x:v>是</x:v>
      </x:c>
      <x:c r="N31" s="36"/>
      <x:c r="O31" s="36" t="str">
        <x:v>否</x:v>
      </x:c>
      <x:c r="P31" s="36" t="e">
        <x:f>HYPERLINK("https://ieeexplore.ieee.org/stamp/stamp.jsp?tp=&amp;arnumber=9731763","打开链接")</x:f>
      </x:c>
      <x:c r="Q31" s="36" t="e">
        <x:f>HYPERLINK("https://ieeexplore.ieee.org/document/9731763","打开链接")</x:f>
      </x:c>
      <x:c r="R31" s="36" t="s">
        <x:v>149</x:v>
      </x:c>
      <x:c r="S31" s="37" t="s">
        <x:v>167</x:v>
      </x:c>
    </x:row>
    <x:row r="32" ht="20" customHeight="1">
      <x:c r="A32" s="4" t="s">
        <x:v>113</x:v>
      </x:c>
      <x:c r="B32" s="5" t="s">
        <x:v>157</x:v>
      </x:c>
      <x:c r="C32" s="5" t="s">
        <x:v>306</x:v>
      </x:c>
      <x:c r="D32" s="5" t="s">
        <x:v>307</x:v>
      </x:c>
      <x:c r="E32" s="5" t="s">
        <x:v>308</x:v>
      </x:c>
      <x:c r="F32" s="5" t="s">
        <x:v>118</x:v>
      </x:c>
      <x:c r="G32" s="5" t="s">
        <x:v>309</x:v>
      </x:c>
      <x:c r="H32" s="5" t="s">
        <x:v>97</x:v>
      </x:c>
      <x:c r="I32" s="5" t="s">
        <x:v>84</x:v>
      </x:c>
      <x:c r="J32" s="5" t="s">
        <x:v>163</x:v>
      </x:c>
      <x:c r="K32" s="5" t="s">
        <x:v>164</x:v>
      </x:c>
      <x:c r="L32" s="5" t="s">
        <x:v>10</x:v>
      </x:c>
      <x:c r="M32" s="5" t="s">
        <x:v>10</x:v>
      </x:c>
      <x:c r="N32" s="5" t="s">
        <x:v>310</x:v>
      </x:c>
      <x:c r="O32" s="5" t="s">
        <x:v>10</x:v>
      </x:c>
      <x:c r="P32" s="5" t="e">
        <x:f>HYPERLINK("https://iopscience.iop.org/article/10.1088/1361-6579/acead2/pdf?download=true","打开链接")</x:f>
      </x:c>
      <x:c r="Q32" s="5" t="e">
        <x:f>HYPERLINK("https://iopscience.iop.org/article/10.1088/1361-6579/acead2","打开链接")</x:f>
      </x:c>
      <x:c r="R32" s="5" t="s">
        <x:v>311</x:v>
      </x:c>
      <x:c r="S32" s="6" t="s">
        <x:v>4</x:v>
      </x:c>
    </x:row>
    <x:row r="33" ht="20" customHeight="1">
      <x:c r="A33" s="4" t="s">
        <x:v>113</x:v>
      </x:c>
      <x:c r="B33" s="5" t="s">
        <x:v>157</x:v>
      </x:c>
      <x:c r="C33" s="5" t="s">
        <x:v>312</x:v>
      </x:c>
      <x:c r="D33" s="5" t="s">
        <x:v>313</x:v>
      </x:c>
      <x:c r="E33" s="5" t="s">
        <x:v>314</x:v>
      </x:c>
      <x:c r="F33" s="5" t="s">
        <x:v>118</x:v>
      </x:c>
      <x:c r="G33" s="5" t="s">
        <x:v>119</x:v>
      </x:c>
      <x:c r="H33" s="5" t="s">
        <x:v>184</x:v>
      </x:c>
      <x:c r="I33" s="5" t="s">
        <x:v>84</x:v>
      </x:c>
      <x:c r="J33" s="5" t="s">
        <x:v>163</x:v>
      </x:c>
      <x:c r="K33" s="5" t="s">
        <x:v>164</x:v>
      </x:c>
      <x:c r="L33" s="5" t="s">
        <x:v>10</x:v>
      </x:c>
      <x:c r="M33" s="5" t="s">
        <x:v>10</x:v>
      </x:c>
      <x:c r="N33" s="5" t="s">
        <x:v>315</x:v>
      </x:c>
      <x:c r="O33" s="5" t="s">
        <x:v>10</x:v>
      </x:c>
      <x:c r="P33" s="5" t="e">
        <x:f>HYPERLINK("https://journals.plos.org/digitalhealth/article/file?id=10.1371/journal.pdig.0000585&amp;type=printable","打开链接")</x:f>
      </x:c>
      <x:c r="Q33" s="5" t="e">
        <x:f>HYPERLINK("https://journals.plos.org/digitalhealth/article?id=10.1371/journal.pdig.0000585","打开链接")</x:f>
      </x:c>
      <x:c r="R33" s="5" t="s">
        <x:v>316</x:v>
      </x:c>
      <x:c r="S33" s="6" t="s">
        <x:v>4</x:v>
      </x:c>
    </x:row>
    <x:row r="34" ht="20" customHeight="1">
      <x:c r="A34" s="4" t="s">
        <x:v>113</x:v>
      </x:c>
      <x:c r="B34" s="5" t="s">
        <x:v>157</x:v>
      </x:c>
      <x:c r="C34" s="5" t="s">
        <x:v>317</x:v>
      </x:c>
      <x:c r="D34" s="5" t="s">
        <x:v>318</x:v>
      </x:c>
      <x:c r="E34" s="5" t="s">
        <x:v>319</x:v>
      </x:c>
      <x:c r="F34" s="5" t="s">
        <x:v>118</x:v>
      </x:c>
      <x:c r="G34" s="5" t="s">
        <x:v>302</x:v>
      </x:c>
      <x:c r="H34" s="5" t="s">
        <x:v>184</x:v>
      </x:c>
      <x:c r="I34" s="5" t="s">
        <x:v>84</x:v>
      </x:c>
      <x:c r="J34" s="5" t="s">
        <x:v>163</x:v>
      </x:c>
      <x:c r="K34" s="5" t="s">
        <x:v>164</x:v>
      </x:c>
      <x:c r="L34" s="5" t="s">
        <x:v>10</x:v>
      </x:c>
      <x:c r="M34" s="5" t="s">
        <x:v>10</x:v>
      </x:c>
      <x:c r="N34" s="5" t="s">
        <x:v>320</x:v>
      </x:c>
      <x:c r="O34" s="5" t="s">
        <x:v>10</x:v>
      </x:c>
      <x:c r="P34" s="5" t="e">
        <x:f>HYPERLINK("https://mdpi-res.com/d_attachment/applsci/applsci-12-09582/article_deploy/applsci-12-09582-v2.pdf?version=1663901507","打开链接")</x:f>
      </x:c>
      <x:c r="Q34" s="5" t="e">
        <x:f>HYPERLINK("https://www.mdpi.com/2076-3417/12/19/9582","打开链接")</x:f>
      </x:c>
      <x:c r="R34" s="5" t="s">
        <x:v>321</x:v>
      </x:c>
      <x:c r="S34" s="6" t="s">
        <x:v>4</x:v>
      </x:c>
    </x:row>
    <x:row r="35" ht="20" customHeight="1">
      <x:c r="A35" s="26" t="s">
        <x:v>113</x:v>
      </x:c>
      <x:c r="B35" s="27" t="str">
        <x:v>无法下载</x:v>
      </x:c>
      <x:c r="C35" s="27" t="s">
        <x:v>115</x:v>
      </x:c>
      <x:c r="D35" s="27" t="s">
        <x:v>322</x:v>
      </x:c>
      <x:c r="E35" s="27" t="s">
        <x:v>116</x:v>
      </x:c>
      <x:c r="F35" s="27" t="s">
        <x:v>118</x:v>
      </x:c>
      <x:c r="G35" s="27" t="s">
        <x:v>119</x:v>
      </x:c>
      <x:c r="H35" s="27" t="s">
        <x:v>108</x:v>
      </x:c>
      <x:c r="I35" s="27" t="s">
        <x:v>10</x:v>
      </x:c>
      <x:c r="J35" s="27" t="s">
        <x:v>98</x:v>
      </x:c>
      <x:c r="K35" s="27" t="s">
        <x:v>86</x:v>
      </x:c>
      <x:c r="L35" s="27" t="s">
        <x:v>84</x:v>
      </x:c>
      <x:c r="M35" s="27" t="s">
        <x:v>84</x:v>
      </x:c>
      <x:c r="N35" s="27"/>
      <x:c r="O35" s="27" t="s">
        <x:v>84</x:v>
      </x:c>
      <x:c r="P35" s="27" t="e">
        <x:f>HYPERLINK("https://ieeexplore.ieee.org/stamp/stamp.jsp?tp=&amp;arnumber=9176731","打开链接")</x:f>
      </x:c>
      <x:c r="Q35" s="27" t="e">
        <x:f>HYPERLINK("https://ieeexplore.ieee.org/document/9176731","打开链接")</x:f>
      </x:c>
      <x:c r="R35" s="27" t="s">
        <x:v>120</x:v>
      </x:c>
      <x:c r="S35" s="28" t="s">
        <x:v>167</x:v>
      </x:c>
    </x:row>
    <x:row r="36" ht="20" customHeight="1">
      <x:c r="A36" s="4" t="s">
        <x:v>113</x:v>
      </x:c>
      <x:c r="B36" s="5" t="s">
        <x:v>157</x:v>
      </x:c>
      <x:c r="C36" s="5" t="s">
        <x:v>323</x:v>
      </x:c>
      <x:c r="D36" s="5" t="s">
        <x:v>324</x:v>
      </x:c>
      <x:c r="E36" s="5" t="s">
        <x:v>325</x:v>
      </x:c>
      <x:c r="F36" s="5" t="s">
        <x:v>254</x:v>
      </x:c>
      <x:c r="G36" s="5" t="s">
        <x:v>326</x:v>
      </x:c>
      <x:c r="H36" s="5" t="s">
        <x:v>97</x:v>
      </x:c>
      <x:c r="I36" s="5" t="s">
        <x:v>84</x:v>
      </x:c>
      <x:c r="J36" s="5" t="s">
        <x:v>163</x:v>
      </x:c>
      <x:c r="K36" s="5" t="s">
        <x:v>164</x:v>
      </x:c>
      <x:c r="L36" s="5" t="s">
        <x:v>10</x:v>
      </x:c>
      <x:c r="M36" s="5" t="s">
        <x:v>84</x:v>
      </x:c>
      <x:c r="N36" s="5"/>
      <x:c r="O36" s="5" t="s">
        <x:v>10</x:v>
      </x:c>
      <x:c r="P36" s="5"/>
      <x:c r="Q36" s="5" t="e">
        <x:f>HYPERLINK("https://www.stridebp.org/bp-monitors/","打开链接")</x:f>
      </x:c>
      <x:c r="R36" s="5" t="s">
        <x:v>327</x:v>
      </x:c>
      <x:c r="S36" s="6" t="s">
        <x:v>167</x:v>
      </x:c>
    </x:row>
    <x:row r="37" ht="20" customHeight="1">
      <x:c r="A37" s="26" t="s">
        <x:v>113</x:v>
      </x:c>
      <x:c r="B37" s="27" t="str">
        <x:v>无法下载</x:v>
      </x:c>
      <x:c r="C37" s="27" t="s">
        <x:v>141</x:v>
      </x:c>
      <x:c r="D37" s="27" t="s">
        <x:v>328</x:v>
      </x:c>
      <x:c r="E37" s="27" t="s">
        <x:v>142</x:v>
      </x:c>
      <x:c r="F37" s="27" t="s">
        <x:v>118</x:v>
      </x:c>
      <x:c r="G37" s="27" t="s">
        <x:v>119</x:v>
      </x:c>
      <x:c r="H37" s="27" t="s">
        <x:v>108</x:v>
      </x:c>
      <x:c r="I37" s="27" t="s">
        <x:v>10</x:v>
      </x:c>
      <x:c r="J37" s="27" t="s">
        <x:v>98</x:v>
      </x:c>
      <x:c r="K37" s="27" t="s">
        <x:v>86</x:v>
      </x:c>
      <x:c r="L37" s="27" t="s">
        <x:v>84</x:v>
      </x:c>
      <x:c r="M37" s="27" t="s">
        <x:v>84</x:v>
      </x:c>
      <x:c r="N37" s="27"/>
      <x:c r="O37" s="27" t="s">
        <x:v>84</x:v>
      </x:c>
      <x:c r="P37" s="27" t="e">
        <x:f>HYPERLINK("https://iopscience.iop.org/article/10.1088/0967-3334/25/5/020/pdf","打开链接")</x:f>
      </x:c>
      <x:c r="Q37" s="27" t="e">
        <x:f>HYPERLINK("https://pubmed.ncbi.nlm.nih.gov/15535195/","打开链接")</x:f>
      </x:c>
      <x:c r="R37" s="27" t="s">
        <x:v>143</x:v>
      </x:c>
      <x:c r="S37" s="28" t="s">
        <x:v>167</x:v>
      </x:c>
    </x:row>
    <x:row r="38" ht="20" customHeight="1">
      <x:c r="A38" s="4" t="s">
        <x:v>329</x:v>
      </x:c>
      <x:c r="B38" s="5" t="s">
        <x:v>157</x:v>
      </x:c>
      <x:c r="C38" s="5" t="s">
        <x:v>330</x:v>
      </x:c>
      <x:c r="D38" s="5" t="s">
        <x:v>331</x:v>
      </x:c>
      <x:c r="E38" s="5" t="s">
        <x:v>332</x:v>
      </x:c>
      <x:c r="F38" s="5" t="s">
        <x:v>95</x:v>
      </x:c>
      <x:c r="G38" s="5" t="s">
        <x:v>333</x:v>
      </x:c>
      <x:c r="H38" s="5" t="s">
        <x:v>184</x:v>
      </x:c>
      <x:c r="I38" s="5" t="s">
        <x:v>84</x:v>
      </x:c>
      <x:c r="J38" s="5" t="s">
        <x:v>163</x:v>
      </x:c>
      <x:c r="K38" s="5" t="s">
        <x:v>164</x:v>
      </x:c>
      <x:c r="L38" s="5" t="s">
        <x:v>10</x:v>
      </x:c>
      <x:c r="M38" s="5" t="s">
        <x:v>10</x:v>
      </x:c>
      <x:c r="N38" s="5" t="s">
        <x:v>334</x:v>
      </x:c>
      <x:c r="O38" s="5" t="s">
        <x:v>10</x:v>
      </x:c>
      <x:c r="P38" s="5" t="e">
        <x:f>HYPERLINK("https://bookcafe.yuntsg.com/ueditor/jsp/upload/file/20260117/1768636681085056202.pdf","打开链接")</x:f>
      </x:c>
      <x:c r="Q38" s="5" t="e">
        <x:f>HYPERLINK("https://bookcafe.yuntsg.com/ueditor/jsp/upload/file/20260117/1768636681085056202.pdf","打开链接")</x:f>
      </x:c>
      <x:c r="R38" s="5" t="s">
        <x:v>335</x:v>
      </x:c>
      <x:c r="S38" s="6" t="s">
        <x:v>187</x:v>
      </x:c>
    </x:row>
    <x:row r="39" ht="20" customHeight="1">
      <x:c r="A39" s="7" t="s">
        <x:v>329</x:v>
      </x:c>
      <x:c r="B39" s="8" t="s">
        <x:v>336</x:v>
      </x:c>
      <x:c r="C39" s="8" t="s">
        <x:v>337</x:v>
      </x:c>
      <x:c r="D39" s="8" t="s">
        <x:v>338</x:v>
      </x:c>
      <x:c r="E39" s="8" t="s">
        <x:v>339</x:v>
      </x:c>
      <x:c r="F39" s="8" t="s">
        <x:v>254</x:v>
      </x:c>
      <x:c r="G39" s="8" t="s">
        <x:v>340</x:v>
      </x:c>
      <x:c r="H39" s="8" t="s">
        <x:v>341</x:v>
      </x:c>
      <x:c r="I39" s="8" t="s">
        <x:v>84</x:v>
      </x:c>
      <x:c r="J39" s="8" t="s">
        <x:v>342</x:v>
      </x:c>
      <x:c r="K39" s="8" t="s">
        <x:v>342</x:v>
      </x:c>
      <x:c r="L39" s="8" t="s">
        <x:v>84</x:v>
      </x:c>
      <x:c r="M39" s="8" t="s">
        <x:v>84</x:v>
      </x:c>
      <x:c r="N39" s="8"/>
      <x:c r="O39" s="8" t="s">
        <x:v>84</x:v>
      </x:c>
      <x:c r="P39" s="8"/>
      <x:c r="Q39" s="8" t="e">
        <x:f>HYPERLINK("https://www.iso.org/standard/73339.html","打开链接")</x:f>
      </x:c>
      <x:c r="R39" s="8" t="s">
        <x:v>343</x:v>
      </x:c>
      <x:c r="S39" s="9" t="s">
        <x:v>167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.83203125" customWidth="1"/>
    <x:col min="2" max="2" width="5.6640625" customWidth="1"/>
    <x:col min="3" max="3" width="12" customWidth="1"/>
    <x:col min="4" max="4" width="137" customWidth="1"/>
    <x:col min="5" max="5" width="11" customWidth="1"/>
    <x:col min="6" max="6" width="9" customWidth="1"/>
    <x:col min="7" max="7" width="119" customWidth="1"/>
    <x:col min="8" max="8" width="111.33203125" customWidth="1"/>
    <x:col min="9" max="9" width="76.5" customWidth="1"/>
    <x:col min="10" max="10" width="7" customWidth="1"/>
    <x:col min="11" max="11" width="17.33203125" customWidth="1"/>
    <x:col min="12" max="12" width="44.5" customWidth="1"/>
  </x:cols>
  <x:sheetData>
    <x:row r="1" ht="20" customHeight="1">
      <x:c r="A1" s="10" t="s">
        <x:v>344</x:v>
      </x:c>
      <x:c r="B1" s="11" t="s">
        <x:v>55</x:v>
      </x:c>
      <x:c r="C1" s="11" t="s">
        <x:v>345</x:v>
      </x:c>
      <x:c r="D1" s="11" t="s">
        <x:v>18</x:v>
      </x:c>
      <x:c r="E1" s="11" t="s">
        <x:v>60</x:v>
      </x:c>
      <x:c r="F1" s="11" t="s">
        <x:v>65</x:v>
      </x:c>
      <x:c r="G1" s="11" t="s">
        <x:v>346</x:v>
      </x:c>
      <x:c r="H1" s="11" t="s">
        <x:v>347</x:v>
      </x:c>
      <x:c r="I1" s="11" t="s">
        <x:v>71</x:v>
      </x:c>
      <x:c r="J1" s="11" t="s">
        <x:v>67</x:v>
      </x:c>
      <x:c r="K1" s="11" t="s">
        <x:v>348</x:v>
      </x:c>
      <x:c r="L1" s="12" t="s">
        <x:v>349</x:v>
      </x:c>
    </x:row>
    <x:row r="2" ht="20" customHeight="1">
      <x:c r="A2" s="26">
        <x:v>2</x:v>
      </x:c>
      <x:c r="B2" s="27" t="s">
        <x:v>350</x:v>
      </x:c>
      <x:c r="C2" s="27" t="s">
        <x:v>351</x:v>
      </x:c>
      <x:c r="D2" s="27" t="s">
        <x:v>352</x:v>
      </x:c>
      <x:c r="E2" s="27" t="s">
        <x:v>353</x:v>
      </x:c>
      <x:c r="F2" s="27" t="str">
        <x:v>failed</x:v>
      </x:c>
      <x:c r="G2" s="27" t="str">
        <x:v>curl: (35) Recv failure: Connection reset by peer</x:v>
      </x:c>
      <x:c r="H2" s="27" t="e">
        <x:f>HYPERLINK("https://www.chl-bha.org.cn/Public/ueditor/php/upload/20240815/17236841017752.pdf","打开链接")</x:f>
      </x:c>
      <x:c r="I2" s="27" t="s">
        <x:v>354</x:v>
      </x:c>
      <x:c r="J2" s="27" t="s">
        <x:v>84</x:v>
      </x:c>
      <x:c r="K2" s="27" t="s">
        <x:v>84</x:v>
      </x:c>
      <x:c r="L2" s="28" t="s">
        <x:v>355</x:v>
      </x:c>
    </x:row>
    <x:row r="3" ht="20" customHeight="1">
      <x:c r="A3" s="4">
        <x:v>5</x:v>
      </x:c>
      <x:c r="B3" s="5" t="s">
        <x:v>350</x:v>
      </x:c>
      <x:c r="C3" s="5" t="s">
        <x:v>356</x:v>
      </x:c>
      <x:c r="D3" s="5" t="s">
        <x:v>357</x:v>
      </x:c>
      <x:c r="E3" s="5" t="s">
        <x:v>358</x:v>
      </x:c>
      <x:c r="F3" s="5" t="s">
        <x:v>359</x:v>
      </x:c>
      <x:c r="G3" s="5"/>
      <x:c r="H3" s="5" t="e">
        <x:f>HYPERLINK("https://www.nhc.gov.cn/fzs/c100048/202509/2f3f7cce449145f8b361e70b3ed4ae9a/files/WS%20T%20872%E2%80%942025-20250930105429913.pdf","打开链接")</x:f>
      </x:c>
      <x:c r="I3" s="5" t="s">
        <x:v>198</x:v>
      </x:c>
      <x:c r="J3" s="5" t="s">
        <x:v>10</x:v>
      </x:c>
      <x:c r="K3" s="5" t="s">
        <x:v>10</x:v>
      </x:c>
      <x:c r="L3" s="6" t="s">
        <x:v>360</x:v>
      </x:c>
    </x:row>
    <x:row r="4" ht="20" customHeight="1">
      <x:c r="A4" s="35">
        <x:v>6</x:v>
      </x:c>
      <x:c r="B4" s="36" t="s">
        <x:v>350</x:v>
      </x:c>
      <x:c r="C4" s="36" t="s">
        <x:v>361</x:v>
      </x:c>
      <x:c r="D4" s="36" t="s">
        <x:v>22</x:v>
      </x:c>
      <x:c r="E4" s="36" t="s">
        <x:v>362</x:v>
      </x:c>
      <x:c r="F4" s="36" t="str">
        <x:v>downloaded</x:v>
      </x:c>
      <x:c r="G4" s="36" t="str">
        <x:v>pages=5; https://file.medtrib.cn/pdf/8a0522ac-ef54-4d24-afa3-0e51edbd70b2/2019%E4%B8%AD%E5%9B%BD%E5%AE%B6%E5%BA%AD%E8%A1%80%E5%8E%8B%E7%9B%91%E6%B5%8B%E6%8C%87%E5%8D%97.pdf</x:v>
      </x:c>
      <x:c r="H4" s="36" t="e">
        <x:f>HYPERLINK("https://zhgxyzz.xml-journal.net/cn/article/pdf/preview/10.16439/j.cnki.1673-7245.2019.08.005.pdf","打开链接")</x:f>
      </x:c>
      <x:c r="I4" s="36" t="s">
        <x:v>363</x:v>
      </x:c>
      <x:c r="J4" s="36" t="str">
        <x:v>是</x:v>
      </x:c>
      <x:c r="K4" s="36" t="s">
        <x:v>84</x:v>
      </x:c>
      <x:c r="L4" s="37" t="s">
        <x:v>355</x:v>
      </x:c>
    </x:row>
    <x:row r="5" ht="20" customHeight="1">
      <x:c r="A5" s="4">
        <x:v>7</x:v>
      </x:c>
      <x:c r="B5" s="5" t="s">
        <x:v>350</x:v>
      </x:c>
      <x:c r="C5" s="5" t="s">
        <x:v>364</x:v>
      </x:c>
      <x:c r="D5" s="5" t="s">
        <x:v>218</x:v>
      </x:c>
      <x:c r="E5" s="5" t="s">
        <x:v>365</x:v>
      </x:c>
      <x:c r="F5" s="5" t="s">
        <x:v>359</x:v>
      </x:c>
      <x:c r="G5" s="5"/>
      <x:c r="H5" s="5" t="e">
        <x:f>HYPERLINK("https://www.nccd.org.cn/UploadFile/201504/20150416170041172172.pdf","打开链接")</x:f>
      </x:c>
      <x:c r="I5" s="5" t="s">
        <x:v>220</x:v>
      </x:c>
      <x:c r="J5" s="5" t="s">
        <x:v>10</x:v>
      </x:c>
      <x:c r="K5" s="5" t="s">
        <x:v>10</x:v>
      </x:c>
      <x:c r="L5" s="6" t="s">
        <x:v>360</x:v>
      </x:c>
    </x:row>
    <x:row r="6" ht="20" customHeight="1">
      <x:c r="A6" s="4">
        <x:v>8</x:v>
      </x:c>
      <x:c r="B6" s="5" t="s">
        <x:v>366</x:v>
      </x:c>
      <x:c r="C6" s="5" t="s">
        <x:v>367</x:v>
      </x:c>
      <x:c r="D6" s="5" t="s">
        <x:v>273</x:v>
      </x:c>
      <x:c r="E6" s="5" t="s">
        <x:v>368</x:v>
      </x:c>
      <x:c r="F6" s="5" t="s">
        <x:v>359</x:v>
      </x:c>
      <x:c r="G6" s="5"/>
      <x:c r="H6" s="5" t="e">
        <x:f>HYPERLINK("https://www.nccd.org.cn/UploadFile/201504/20150418172843860860.pdf","打开链接")</x:f>
      </x:c>
      <x:c r="I6" s="5" t="s">
        <x:v>276</x:v>
      </x:c>
      <x:c r="J6" s="5" t="s">
        <x:v>10</x:v>
      </x:c>
      <x:c r="K6" s="5" t="s">
        <x:v>10</x:v>
      </x:c>
      <x:c r="L6" s="6" t="s">
        <x:v>360</x:v>
      </x:c>
    </x:row>
    <x:row r="7" ht="20" customHeight="1">
      <x:c r="A7" s="4">
        <x:v>9</x:v>
      </x:c>
      <x:c r="B7" s="5" t="s">
        <x:v>366</x:v>
      </x:c>
      <x:c r="C7" s="5" t="s">
        <x:v>369</x:v>
      </x:c>
      <x:c r="D7" s="5" t="s">
        <x:v>223</x:v>
      </x:c>
      <x:c r="E7" s="5" t="s">
        <x:v>370</x:v>
      </x:c>
      <x:c r="F7" s="5" t="s">
        <x:v>359</x:v>
      </x:c>
      <x:c r="G7" s="5"/>
      <x:c r="H7" s="5" t="e">
        <x:f>HYPERLINK("https://medtion-image.medtion.com/uploads/1/file/public/202312/20231222151125_hjo32b9lsf.pdf","打开链接")</x:f>
      </x:c>
      <x:c r="I7" s="5" t="s">
        <x:v>226</x:v>
      </x:c>
      <x:c r="J7" s="5" t="s">
        <x:v>10</x:v>
      </x:c>
      <x:c r="K7" s="5" t="s">
        <x:v>10</x:v>
      </x:c>
      <x:c r="L7" s="6" t="s">
        <x:v>360</x:v>
      </x:c>
    </x:row>
    <x:row r="8" ht="20" customHeight="1">
      <x:c r="A8" s="4">
        <x:v>10</x:v>
      </x:c>
      <x:c r="B8" s="5" t="s">
        <x:v>371</x:v>
      </x:c>
      <x:c r="C8" s="5" t="s">
        <x:v>372</x:v>
      </x:c>
      <x:c r="D8" s="5" t="s">
        <x:v>332</x:v>
      </x:c>
      <x:c r="E8" s="5" t="s">
        <x:v>358</x:v>
      </x:c>
      <x:c r="F8" s="5" t="s">
        <x:v>359</x:v>
      </x:c>
      <x:c r="G8" s="5"/>
      <x:c r="H8" s="5" t="e">
        <x:f>HYPERLINK("https://bookcafe.yuntsg.com/ueditor/jsp/upload/file/20260117/1768636681085056202.pdf","打开链接")</x:f>
      </x:c>
      <x:c r="I8" s="5" t="s">
        <x:v>335</x:v>
      </x:c>
      <x:c r="J8" s="5" t="s">
        <x:v>10</x:v>
      </x:c>
      <x:c r="K8" s="5" t="s">
        <x:v>10</x:v>
      </x:c>
      <x:c r="L8" s="6" t="s">
        <x:v>360</x:v>
      </x:c>
    </x:row>
    <x:row r="9" ht="20" customHeight="1">
      <x:c r="A9" s="4">
        <x:v>11</x:v>
      </x:c>
      <x:c r="B9" s="5" t="s">
        <x:v>350</x:v>
      </x:c>
      <x:c r="C9" s="5" t="s">
        <x:v>373</x:v>
      </x:c>
      <x:c r="D9" s="5" t="s">
        <x:v>374</x:v>
      </x:c>
      <x:c r="E9" s="5" t="s">
        <x:v>358</x:v>
      </x:c>
      <x:c r="F9" s="5" t="s">
        <x:v>375</x:v>
      </x:c>
      <x:c r="G9" s="5"/>
      <x:c r="H9" s="5" t="e">
        <x:f>HYPERLINK("https://www.ahajournals.org/doi/pdf/10.1161/CIR.0000000000001356","打开链接")</x:f>
      </x:c>
      <x:c r="I9" s="5" t="s">
        <x:v>179</x:v>
      </x:c>
      <x:c r="J9" s="5" t="s">
        <x:v>10</x:v>
      </x:c>
      <x:c r="K9" s="5" t="s">
        <x:v>10</x:v>
      </x:c>
      <x:c r="L9" s="6" t="s">
        <x:v>360</x:v>
      </x:c>
    </x:row>
    <x:row r="10" ht="20" customHeight="1">
      <x:c r="A10" s="50">
        <x:v>12</x:v>
      </x:c>
      <x:c r="B10" s="51" t="s">
        <x:v>350</x:v>
      </x:c>
      <x:c r="C10" s="51" t="s">
        <x:v>373</x:v>
      </x:c>
      <x:c r="D10" s="51" t="s">
        <x:v>376</x:v>
      </x:c>
      <x:c r="E10" s="51" t="s">
        <x:v>353</x:v>
      </x:c>
      <x:c r="F10" s="51" t="str">
        <x:v>downloaded</x:v>
      </x:c>
      <x:c r="G10" s="51" t="str">
        <x:v>archived 2026-05-20; 107 pages; source file 2024-ESC-Guidelines-for-the-management-of-hypertension.EHeartJ.2024_.pdf</x:v>
      </x:c>
      <x:c r="H10" s="51" t="e">
        <x:f>HYPERLINK("https://academic.oup.com/eurheartj/article-pdf/45/38/3912/59633218/ehae178.pdf","打开链接")</x:f>
      </x:c>
      <x:c r="I10" s="51" t="s">
        <x:v>377</x:v>
      </x:c>
      <x:c r="J10" s="51" t="str">
        <x:v>是</x:v>
      </x:c>
      <x:c r="K10" s="51" t="s">
        <x:v>84</x:v>
      </x:c>
      <x:c r="L10" s="52" t="str">
        <x:v>已归档，后续补 source catalog/中文摘要 notes。</x:v>
      </x:c>
    </x:row>
    <x:row r="11" ht="20" customHeight="1">
      <x:c r="A11" s="4">
        <x:v>15</x:v>
      </x:c>
      <x:c r="B11" s="5" t="s">
        <x:v>366</x:v>
      </x:c>
      <x:c r="C11" s="5" t="s">
        <x:v>373</x:v>
      </x:c>
      <x:c r="D11" s="5" t="s">
        <x:v>291</x:v>
      </x:c>
      <x:c r="E11" s="5" t="s">
        <x:v>378</x:v>
      </x:c>
      <x:c r="F11" s="5" t="s">
        <x:v>359</x:v>
      </x:c>
      <x:c r="G11" s="5"/>
      <x:c r="H11" s="5" t="e">
        <x:f>HYPERLINK("https://iris.who.int/bitstreams/f062769d-f075-4a00-87af-0a2106e0bd04/download","打开链接")</x:f>
      </x:c>
      <x:c r="I11" s="5" t="s">
        <x:v>295</x:v>
      </x:c>
      <x:c r="J11" s="5" t="s">
        <x:v>10</x:v>
      </x:c>
      <x:c r="K11" s="5" t="s">
        <x:v>10</x:v>
      </x:c>
      <x:c r="L11" s="6" t="s">
        <x:v>360</x:v>
      </x:c>
    </x:row>
    <x:row r="12" ht="20" customHeight="1">
      <x:c r="A12" s="4">
        <x:v>16</x:v>
      </x:c>
      <x:c r="B12" s="5" t="s">
        <x:v>366</x:v>
      </x:c>
      <x:c r="C12" s="5" t="s">
        <x:v>373</x:v>
      </x:c>
      <x:c r="D12" s="5" t="s">
        <x:v>379</x:v>
      </x:c>
      <x:c r="E12" s="5" t="s">
        <x:v>380</x:v>
      </x:c>
      <x:c r="F12" s="5" t="s">
        <x:v>359</x:v>
      </x:c>
      <x:c r="G12" s="5"/>
      <x:c r="H12" s="5" t="e">
        <x:f>HYPERLINK("https://www.nice.org.uk/guidance/ng136/resources/hypertension-in-adults-diagnosis-and-management-pdf-66141722710213","打开链接")</x:f>
      </x:c>
      <x:c r="I12" s="5" t="s">
        <x:v>244</x:v>
      </x:c>
      <x:c r="J12" s="5" t="s">
        <x:v>10</x:v>
      </x:c>
      <x:c r="K12" s="5" t="s">
        <x:v>10</x:v>
      </x:c>
      <x:c r="L12" s="6" t="s">
        <x:v>360</x:v>
      </x:c>
    </x:row>
    <x:row r="13" ht="20" customHeight="1">
      <x:c r="A13" s="4">
        <x:v>18</x:v>
      </x:c>
      <x:c r="B13" s="5" t="s">
        <x:v>350</x:v>
      </x:c>
      <x:c r="C13" s="5" t="s">
        <x:v>381</x:v>
      </x:c>
      <x:c r="D13" s="5" t="s">
        <x:v>182</x:v>
      </x:c>
      <x:c r="E13" s="5" t="s">
        <x:v>358</x:v>
      </x:c>
      <x:c r="F13" s="5" t="s">
        <x:v>359</x:v>
      </x:c>
      <x:c r="G13" s="5"/>
      <x:c r="H13" s="5" t="e">
        <x:f>HYPERLINK("https://www.heart.org/-/media/files/health-topics/high-blood-pressure/how_to_measure_your_blood_pressure_letter_size.pdf","打开链接")</x:f>
      </x:c>
      <x:c r="I13" s="5" t="s">
        <x:v>186</x:v>
      </x:c>
      <x:c r="J13" s="5" t="s">
        <x:v>10</x:v>
      </x:c>
      <x:c r="K13" s="5" t="s">
        <x:v>10</x:v>
      </x:c>
      <x:c r="L13" s="6" t="s">
        <x:v>360</x:v>
      </x:c>
    </x:row>
    <x:row r="14" ht="20" customHeight="1">
      <x:c r="A14" s="26">
        <x:v>19</x:v>
      </x:c>
      <x:c r="B14" s="27" t="s">
        <x:v>366</x:v>
      </x:c>
      <x:c r="C14" s="27" t="s">
        <x:v>381</x:v>
      </x:c>
      <x:c r="D14" s="27" t="s">
        <x:v>382</x:v>
      </x:c>
      <x:c r="E14" s="27" t="s">
        <x:v>383</x:v>
      </x:c>
      <x:c r="F14" s="27" t="str">
        <x:v>failed</x:v>
      </x:c>
      <x:c r="G14" s="27" t="str">
        <x:v>curl: (56) The requested URL returned error: 403</x:v>
      </x:c>
      <x:c r="H14" s="27" t="e">
        <x:f>HYPERLINK("https://www.ahajournals.org/doi/pdf/10.1161/CIR.0000000000000803","打开链接")</x:f>
      </x:c>
      <x:c r="I14" s="27" t="s">
        <x:v>384</x:v>
      </x:c>
      <x:c r="J14" s="27" t="s">
        <x:v>84</x:v>
      </x:c>
      <x:c r="K14" s="27" t="s">
        <x:v>84</x:v>
      </x:c>
      <x:c r="L14" s="28" t="s">
        <x:v>355</x:v>
      </x:c>
    </x:row>
    <x:row r="15" ht="20" customHeight="1">
      <x:c r="A15" s="4">
        <x:v>24</x:v>
      </x:c>
      <x:c r="B15" s="5" t="s">
        <x:v>350</x:v>
      </x:c>
      <x:c r="C15" s="5" t="s">
        <x:v>385</x:v>
      </x:c>
      <x:c r="D15" s="5" t="s">
        <x:v>386</x:v>
      </x:c>
      <x:c r="E15" s="5" t="s">
        <x:v>387</x:v>
      </x:c>
      <x:c r="F15" s="5" t="s">
        <x:v>375</x:v>
      </x:c>
      <x:c r="G15" s="5"/>
      <x:c r="H15" s="5" t="e">
        <x:f>HYPERLINK("https://www.ahajournals.org/doi/pdf/10.1161/HYP.0000000000000254","打开链接")</x:f>
      </x:c>
      <x:c r="I15" s="5" t="s">
        <x:v>166</x:v>
      </x:c>
      <x:c r="J15" s="5" t="s">
        <x:v>10</x:v>
      </x:c>
      <x:c r="K15" s="5" t="s">
        <x:v>10</x:v>
      </x:c>
      <x:c r="L15" s="6" t="s">
        <x:v>360</x:v>
      </x:c>
    </x:row>
    <x:row r="16" ht="20" customHeight="1">
      <x:c r="A16" s="4">
        <x:v>25</x:v>
      </x:c>
      <x:c r="B16" s="5" t="s">
        <x:v>350</x:v>
      </x:c>
      <x:c r="C16" s="5" t="s">
        <x:v>385</x:v>
      </x:c>
      <x:c r="D16" s="5" t="s">
        <x:v>388</x:v>
      </x:c>
      <x:c r="E16" s="5" t="s">
        <x:v>389</x:v>
      </x:c>
      <x:c r="F16" s="5" t="s">
        <x:v>359</x:v>
      </x:c>
      <x:c r="G16" s="5"/>
      <x:c r="H16" s="5" t="e">
        <x:f>HYPERLINK("https://www.fda.gov/media/190675/download","打开链接")</x:f>
      </x:c>
      <x:c r="I16" s="5" t="s">
        <x:v>192</x:v>
      </x:c>
      <x:c r="J16" s="5" t="s">
        <x:v>10</x:v>
      </x:c>
      <x:c r="K16" s="5" t="s">
        <x:v>10</x:v>
      </x:c>
      <x:c r="L16" s="6" t="s">
        <x:v>360</x:v>
      </x:c>
    </x:row>
    <x:row r="17" ht="20" customHeight="1">
      <x:c r="A17" s="4">
        <x:v>32</x:v>
      </x:c>
      <x:c r="B17" s="5" t="s">
        <x:v>350</x:v>
      </x:c>
      <x:c r="C17" s="5" t="s">
        <x:v>390</x:v>
      </x:c>
      <x:c r="D17" s="5" t="s">
        <x:v>236</x:v>
      </x:c>
      <x:c r="E17" s="5" t="s">
        <x:v>391</x:v>
      </x:c>
      <x:c r="F17" s="5" t="s">
        <x:v>359</x:v>
      </x:c>
      <x:c r="G17" s="5"/>
      <x:c r="H17" s="5" t="e">
        <x:f>HYPERLINK("https://www.nhlbi.nih.gov/files/docs/public/heart/new_dash.pdf","打开链接")</x:f>
      </x:c>
      <x:c r="I17" s="5" t="s">
        <x:v>238</x:v>
      </x:c>
      <x:c r="J17" s="5" t="s">
        <x:v>10</x:v>
      </x:c>
      <x:c r="K17" s="5" t="s">
        <x:v>10</x:v>
      </x:c>
      <x:c r="L17" s="6" t="s">
        <x:v>360</x:v>
      </x:c>
    </x:row>
    <x:row r="18" ht="20" customHeight="1">
      <x:c r="A18" s="4">
        <x:v>33</x:v>
      </x:c>
      <x:c r="B18" s="5" t="s">
        <x:v>350</x:v>
      </x:c>
      <x:c r="C18" s="5" t="s">
        <x:v>390</x:v>
      </x:c>
      <x:c r="D18" s="5" t="s">
        <x:v>207</x:v>
      </x:c>
      <x:c r="E18" s="5" t="s">
        <x:v>358</x:v>
      </x:c>
      <x:c r="F18" s="5" t="s">
        <x:v>359</x:v>
      </x:c>
      <x:c r="G18" s="5"/>
      <x:c r="H18" s="5" t="e">
        <x:f>HYPERLINK("https://www.heart.org/-/media/files/health-topics/answers-by-heart/how-can-i-reduce-high-blood-pressure.pdf","打开链接")</x:f>
      </x:c>
      <x:c r="I18" s="5" t="s">
        <x:v>210</x:v>
      </x:c>
      <x:c r="J18" s="5" t="s">
        <x:v>10</x:v>
      </x:c>
      <x:c r="K18" s="5" t="s">
        <x:v>10</x:v>
      </x:c>
      <x:c r="L18" s="6" t="s">
        <x:v>360</x:v>
      </x:c>
    </x:row>
    <x:row r="19" ht="20" customHeight="1">
      <x:c r="A19" s="4">
        <x:v>34</x:v>
      </x:c>
      <x:c r="B19" s="5" t="s">
        <x:v>350</x:v>
      </x:c>
      <x:c r="C19" s="5" t="s">
        <x:v>390</x:v>
      </x:c>
      <x:c r="D19" s="5" t="s">
        <x:v>213</x:v>
      </x:c>
      <x:c r="E19" s="5" t="s">
        <x:v>358</x:v>
      </x:c>
      <x:c r="F19" s="5" t="s">
        <x:v>359</x:v>
      </x:c>
      <x:c r="G19" s="5"/>
      <x:c r="H19" s="5" t="e">
        <x:f>HYPERLINK("https://www.heart.org/-/media/Files/Health-Topics/High-Blood-Pressure/Steps-To-Improve-High-BP.pdf","打开链接")</x:f>
      </x:c>
      <x:c r="I19" s="5" t="s">
        <x:v>215</x:v>
      </x:c>
      <x:c r="J19" s="5" t="s">
        <x:v>10</x:v>
      </x:c>
      <x:c r="K19" s="5" t="s">
        <x:v>10</x:v>
      </x:c>
      <x:c r="L19" s="6" t="s">
        <x:v>360</x:v>
      </x:c>
    </x:row>
    <x:row r="20" ht="20" customHeight="1">
      <x:c r="A20" s="4">
        <x:v>35</x:v>
      </x:c>
      <x:c r="B20" s="5" t="s">
        <x:v>366</x:v>
      </x:c>
      <x:c r="C20" s="5" t="s">
        <x:v>390</x:v>
      </x:c>
      <x:c r="D20" s="5" t="s">
        <x:v>392</x:v>
      </x:c>
      <x:c r="E20" s="5" t="s">
        <x:v>387</x:v>
      </x:c>
      <x:c r="F20" s="5" t="s">
        <x:v>359</x:v>
      </x:c>
      <x:c r="G20" s="5"/>
      <x:c r="H20" s="5" t="e">
        <x:f>HYPERLINK("https://www.heart.org/-/media/Healthy-Living-Files/LE8-Fact-Sheets/LE8_How_To_Manage_Blood_Pressure.pdf?sc_lang=en","打开链接")</x:f>
      </x:c>
      <x:c r="I20" s="5" t="s">
        <x:v>264</x:v>
      </x:c>
      <x:c r="J20" s="5" t="s">
        <x:v>10</x:v>
      </x:c>
      <x:c r="K20" s="5" t="s">
        <x:v>10</x:v>
      </x:c>
      <x:c r="L20" s="6" t="s">
        <x:v>360</x:v>
      </x:c>
    </x:row>
    <x:row r="21" ht="20" customHeight="1">
      <x:c r="A21" s="4">
        <x:v>37</x:v>
      </x:c>
      <x:c r="B21" s="5" t="s">
        <x:v>366</x:v>
      </x:c>
      <x:c r="C21" s="5" t="s">
        <x:v>390</x:v>
      </x:c>
      <x:c r="D21" s="5" t="s">
        <x:v>393</x:v>
      </x:c>
      <x:c r="E21" s="5" t="s">
        <x:v>391</x:v>
      </x:c>
      <x:c r="F21" s="5" t="s">
        <x:v>359</x:v>
      </x:c>
      <x:c r="G21" s="5"/>
      <x:c r="H21" s="5" t="e">
        <x:f>HYPERLINK("https://www.cdc.gov/heart-disease/docs/Managing_My_Blood_Pressure.pdf","打开链接")</x:f>
      </x:c>
      <x:c r="I21" s="5" t="s">
        <x:v>270</x:v>
      </x:c>
      <x:c r="J21" s="5" t="s">
        <x:v>10</x:v>
      </x:c>
      <x:c r="K21" s="5" t="s">
        <x:v>10</x:v>
      </x:c>
      <x:c r="L21" s="6" t="s">
        <x:v>360</x:v>
      </x:c>
    </x:row>
    <x:row r="22" ht="20" customHeight="1">
      <x:c r="A22" s="4">
        <x:v>42</x:v>
      </x:c>
      <x:c r="B22" s="5" t="s">
        <x:v>366</x:v>
      </x:c>
      <x:c r="C22" s="5" t="s">
        <x:v>369</x:v>
      </x:c>
      <x:c r="D22" s="5" t="s">
        <x:v>201</x:v>
      </x:c>
      <x:c r="E22" s="5" t="s">
        <x:v>358</x:v>
      </x:c>
      <x:c r="F22" s="5" t="s">
        <x:v>359</x:v>
      </x:c>
      <x:c r="G22" s="5"/>
      <x:c r="H22" s="5" t="e">
        <x:f>HYPERLINK("https://www.heart.org/-/media/GRFW-Files/Know-Your-Risk/Maternal-Health/Pregnancy_Blood_Pressure_Categories.pdf?sc_lang=en","打开链接")</x:f>
      </x:c>
      <x:c r="I22" s="5" t="s">
        <x:v>204</x:v>
      </x:c>
      <x:c r="J22" s="5" t="s">
        <x:v>10</x:v>
      </x:c>
      <x:c r="K22" s="5" t="s">
        <x:v>10</x:v>
      </x:c>
      <x:c r="L22" s="6" t="s">
        <x:v>360</x:v>
      </x:c>
    </x:row>
    <x:row r="23" ht="20" customHeight="1">
      <x:c r="A23" s="35">
        <x:v>44</x:v>
      </x:c>
      <x:c r="B23" s="36" t="s">
        <x:v>366</x:v>
      </x:c>
      <x:c r="C23" s="36" t="s">
        <x:v>394</x:v>
      </x:c>
      <x:c r="D23" s="36" t="s">
        <x:v>395</x:v>
      </x:c>
      <x:c r="E23" s="36" t="s">
        <x:v>353</x:v>
      </x:c>
      <x:c r="F23" s="36" t="str">
        <x:v>downloaded</x:v>
      </x:c>
      <x:c r="G23" s="36" t="str">
        <x:v>pages=44; https://escholarship.org/content/qt3mq512w9/qt3mq512w9.pdf?t=sridrr</x:v>
      </x:c>
      <x:c r="H23" s="36" t="e">
        <x:f>HYPERLINK("https://www.ahajournals.org/doi/pdf/10.1161/circulationaha.123.067626","打开链接")</x:f>
      </x:c>
      <x:c r="I23" s="36" t="s">
        <x:v>396</x:v>
      </x:c>
      <x:c r="J23" s="36" t="str">
        <x:v>是</x:v>
      </x:c>
      <x:c r="K23" s="36" t="s">
        <x:v>84</x:v>
      </x:c>
      <x:c r="L23" s="37" t="s">
        <x:v>355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48.83203125" customWidth="1"/>
    <x:col min="2" max="2" width="14.5" customWidth="1"/>
    <x:col min="3" max="3" width="12.33203125" customWidth="1"/>
    <x:col min="4" max="4" width="13.6640625" customWidth="1"/>
  </x:cols>
  <x:sheetData>
    <x:row r="1" ht="20" customHeight="1">
      <x:c r="A1" s="10" t="s">
        <x:v>397</x:v>
      </x:c>
      <x:c r="B1" s="11" t="s">
        <x:v>398</x:v>
      </x:c>
      <x:c r="C1" s="11" t="s">
        <x:v>399</x:v>
      </x:c>
      <x:c r="D1" s="12" t="s">
        <x:v>400</x:v>
      </x:c>
    </x:row>
    <x:row r="2" ht="20" customHeight="1">
      <x:c r="A2" s="4" t="s">
        <x:v>178</x:v>
      </x:c>
      <x:c r="B2" s="5" t="s">
        <x:v>10</x:v>
      </x:c>
      <x:c r="C2" s="5" t="s">
        <x:v>10</x:v>
      </x:c>
      <x:c r="D2" s="6" t="s">
        <x:v>157</x:v>
      </x:c>
    </x:row>
    <x:row r="3" ht="20" customHeight="1">
      <x:c r="A3" s="4" t="s">
        <x:v>165</x:v>
      </x:c>
      <x:c r="B3" s="5" t="s">
        <x:v>10</x:v>
      </x:c>
      <x:c r="C3" s="5" t="s">
        <x:v>10</x:v>
      </x:c>
      <x:c r="D3" s="6" t="s">
        <x:v>157</x:v>
      </x:c>
    </x:row>
    <x:row r="4" ht="20" customHeight="1">
      <x:c r="A4" s="4" t="s">
        <x:v>185</x:v>
      </x:c>
      <x:c r="B4" s="5" t="s">
        <x:v>10</x:v>
      </x:c>
      <x:c r="C4" s="5" t="s">
        <x:v>10</x:v>
      </x:c>
      <x:c r="D4" s="6" t="s">
        <x:v>157</x:v>
      </x:c>
    </x:row>
    <x:row r="5" ht="20" customHeight="1">
      <x:c r="A5" s="4" t="s">
        <x:v>263</x:v>
      </x:c>
      <x:c r="B5" s="5" t="s">
        <x:v>10</x:v>
      </x:c>
      <x:c r="C5" s="5" t="s">
        <x:v>10</x:v>
      </x:c>
      <x:c r="D5" s="6" t="s">
        <x:v>157</x:v>
      </x:c>
    </x:row>
    <x:row r="6" ht="20" customHeight="1">
      <x:c r="A6" s="4" t="s">
        <x:v>203</x:v>
      </x:c>
      <x:c r="B6" s="5" t="s">
        <x:v>10</x:v>
      </x:c>
      <x:c r="C6" s="5" t="s">
        <x:v>10</x:v>
      </x:c>
      <x:c r="D6" s="6" t="s">
        <x:v>157</x:v>
      </x:c>
    </x:row>
    <x:row r="7" ht="20" customHeight="1">
      <x:c r="A7" s="4" t="s">
        <x:v>209</x:v>
      </x:c>
      <x:c r="B7" s="5" t="s">
        <x:v>10</x:v>
      </x:c>
      <x:c r="C7" s="5" t="s">
        <x:v>10</x:v>
      </x:c>
      <x:c r="D7" s="6" t="s">
        <x:v>157</x:v>
      </x:c>
    </x:row>
    <x:row r="8" ht="20" customHeight="1">
      <x:c r="A8" s="4" t="s">
        <x:v>214</x:v>
      </x:c>
      <x:c r="B8" s="5" t="s">
        <x:v>10</x:v>
      </x:c>
      <x:c r="C8" s="5" t="s">
        <x:v>10</x:v>
      </x:c>
      <x:c r="D8" s="6" t="s">
        <x:v>157</x:v>
      </x:c>
    </x:row>
    <x:row r="9" ht="20" customHeight="1">
      <x:c r="A9" s="4" t="s">
        <x:v>269</x:v>
      </x:c>
      <x:c r="B9" s="5" t="s">
        <x:v>10</x:v>
      </x:c>
      <x:c r="C9" s="5" t="s">
        <x:v>10</x:v>
      </x:c>
      <x:c r="D9" s="6" t="s">
        <x:v>157</x:v>
      </x:c>
    </x:row>
    <x:row r="10" ht="20" customHeight="1">
      <x:c r="A10" s="4" t="s">
        <x:v>303</x:v>
      </x:c>
      <x:c r="B10" s="5" t="s">
        <x:v>10</x:v>
      </x:c>
      <x:c r="C10" s="5" t="s">
        <x:v>84</x:v>
      </x:c>
      <x:c r="D10" s="6" t="s">
        <x:v>157</x:v>
      </x:c>
    </x:row>
    <x:row r="11" ht="20" customHeight="1">
      <x:c r="A11" s="4" t="s">
        <x:v>310</x:v>
      </x:c>
      <x:c r="B11" s="5" t="s">
        <x:v>10</x:v>
      </x:c>
      <x:c r="C11" s="5" t="s">
        <x:v>84</x:v>
      </x:c>
      <x:c r="D11" s="6" t="s">
        <x:v>157</x:v>
      </x:c>
    </x:row>
    <x:row r="12" ht="20" customHeight="1">
      <x:c r="A12" s="4" t="s">
        <x:v>315</x:v>
      </x:c>
      <x:c r="B12" s="5" t="s">
        <x:v>10</x:v>
      </x:c>
      <x:c r="C12" s="5" t="s">
        <x:v>84</x:v>
      </x:c>
      <x:c r="D12" s="6" t="s">
        <x:v>157</x:v>
      </x:c>
    </x:row>
    <x:row r="13" ht="20" customHeight="1">
      <x:c r="A13" s="4" t="s">
        <x:v>219</x:v>
      </x:c>
      <x:c r="B13" s="5" t="s">
        <x:v>10</x:v>
      </x:c>
      <x:c r="C13" s="5" t="s">
        <x:v>10</x:v>
      </x:c>
      <x:c r="D13" s="6" t="s">
        <x:v>157</x:v>
      </x:c>
    </x:row>
    <x:row r="14" ht="20" customHeight="1">
      <x:c r="A14" s="4" t="s">
        <x:v>275</x:v>
      </x:c>
      <x:c r="B14" s="5" t="s">
        <x:v>10</x:v>
      </x:c>
      <x:c r="C14" s="5" t="s">
        <x:v>10</x:v>
      </x:c>
      <x:c r="D14" s="6" t="s">
        <x:v>157</x:v>
      </x:c>
    </x:row>
    <x:row r="15" ht="20" customHeight="1">
      <x:c r="A15" s="4" t="s">
        <x:v>225</x:v>
      </x:c>
      <x:c r="B15" s="5" t="s">
        <x:v>10</x:v>
      </x:c>
      <x:c r="C15" s="5" t="s">
        <x:v>10</x:v>
      </x:c>
      <x:c r="D15" s="6" t="s">
        <x:v>157</x:v>
      </x:c>
    </x:row>
    <x:row r="16" ht="20" customHeight="1">
      <x:c r="A16" s="4" t="s">
        <x:v>334</x:v>
      </x:c>
      <x:c r="B16" s="5" t="s">
        <x:v>10</x:v>
      </x:c>
      <x:c r="C16" s="5" t="s">
        <x:v>10</x:v>
      </x:c>
      <x:c r="D16" s="6" t="s">
        <x:v>157</x:v>
      </x:c>
    </x:row>
    <x:row r="17" ht="20" customHeight="1">
      <x:c r="A17" s="4" t="s">
        <x:v>172</x:v>
      </x:c>
      <x:c r="B17" s="5" t="s">
        <x:v>10</x:v>
      </x:c>
      <x:c r="C17" s="5" t="s">
        <x:v>84</x:v>
      </x:c>
      <x:c r="D17" s="6" t="s">
        <x:v>157</x:v>
      </x:c>
    </x:row>
    <x:row r="18" ht="20" customHeight="1">
      <x:c r="A18" s="4" t="s">
        <x:v>320</x:v>
      </x:c>
      <x:c r="B18" s="5" t="s">
        <x:v>10</x:v>
      </x:c>
      <x:c r="C18" s="5" t="s">
        <x:v>84</x:v>
      </x:c>
      <x:c r="D18" s="6" t="s">
        <x:v>157</x:v>
      </x:c>
    </x:row>
    <x:row r="19" ht="20" customHeight="1">
      <x:c r="A19" s="4" t="s">
        <x:v>191</x:v>
      </x:c>
      <x:c r="B19" s="5" t="s">
        <x:v>10</x:v>
      </x:c>
      <x:c r="C19" s="5" t="s">
        <x:v>10</x:v>
      </x:c>
      <x:c r="D19" s="6" t="s">
        <x:v>157</x:v>
      </x:c>
    </x:row>
    <x:row r="20" ht="20" customHeight="1">
      <x:c r="A20" s="4" t="s">
        <x:v>282</x:v>
      </x:c>
      <x:c r="B20" s="5" t="s">
        <x:v>10</x:v>
      </x:c>
      <x:c r="C20" s="5" t="s">
        <x:v>84</x:v>
      </x:c>
      <x:c r="D20" s="6" t="s">
        <x:v>157</x:v>
      </x:c>
    </x:row>
    <x:row r="21" ht="20" customHeight="1">
      <x:c r="A21" s="4" t="s">
        <x:v>287</x:v>
      </x:c>
      <x:c r="B21" s="5" t="s">
        <x:v>10</x:v>
      </x:c>
      <x:c r="C21" s="5" t="s">
        <x:v>84</x:v>
      </x:c>
      <x:c r="D21" s="6" t="s">
        <x:v>157</x:v>
      </x:c>
    </x:row>
    <x:row r="22" ht="20" customHeight="1">
      <x:c r="A22" s="4" t="s">
        <x:v>232</x:v>
      </x:c>
      <x:c r="B22" s="5" t="s">
        <x:v>10</x:v>
      </x:c>
      <x:c r="C22" s="5" t="s">
        <x:v>84</x:v>
      </x:c>
      <x:c r="D22" s="6" t="s">
        <x:v>157</x:v>
      </x:c>
    </x:row>
    <x:row r="23" ht="20" customHeight="1">
      <x:c r="A23" s="4" t="s">
        <x:v>197</x:v>
      </x:c>
      <x:c r="B23" s="5" t="s">
        <x:v>10</x:v>
      </x:c>
      <x:c r="C23" s="5" t="s">
        <x:v>10</x:v>
      </x:c>
      <x:c r="D23" s="6" t="s">
        <x:v>157</x:v>
      </x:c>
    </x:row>
    <x:row r="24" ht="20" customHeight="1">
      <x:c r="A24" s="4" t="s">
        <x:v>237</x:v>
      </x:c>
      <x:c r="B24" s="5" t="s">
        <x:v>10</x:v>
      </x:c>
      <x:c r="C24" s="5" t="s">
        <x:v>10</x:v>
      </x:c>
      <x:c r="D24" s="6" t="s">
        <x:v>157</x:v>
      </x:c>
    </x:row>
    <x:row r="25" ht="20" customHeight="1">
      <x:c r="A25" s="4" t="s">
        <x:v>243</x:v>
      </x:c>
      <x:c r="B25" s="5" t="s">
        <x:v>10</x:v>
      </x:c>
      <x:c r="C25" s="5" t="s">
        <x:v>10</x:v>
      </x:c>
      <x:c r="D25" s="6" t="s">
        <x:v>157</x:v>
      </x:c>
    </x:row>
    <x:row r="26" ht="20" customHeight="1">
      <x:c r="A26" s="4" t="s">
        <x:v>249</x:v>
      </x:c>
      <x:c r="B26" s="5" t="s">
        <x:v>10</x:v>
      </x:c>
      <x:c r="C26" s="5" t="s">
        <x:v>84</x:v>
      </x:c>
      <x:c r="D26" s="6" t="s">
        <x:v>157</x:v>
      </x:c>
    </x:row>
    <x:row r="27" ht="20" customHeight="1">
      <x:c r="A27" s="4" t="s">
        <x:v>294</x:v>
      </x:c>
      <x:c r="B27" s="5" t="s">
        <x:v>10</x:v>
      </x:c>
      <x:c r="C27" s="5" t="s">
        <x:v>10</x:v>
      </x:c>
      <x:c r="D27" s="6" t="s">
        <x:v>157</x:v>
      </x:c>
    </x:row>
    <x:row r="28" ht="20" customHeight="1">
      <x:c r="A28" s="7" t="s">
        <x:v>257</x:v>
      </x:c>
      <x:c r="B28" s="8" t="s">
        <x:v>10</x:v>
      </x:c>
      <x:c r="C28" s="8" t="s">
        <x:v>84</x:v>
      </x:c>
      <x:c r="D28" s="9" t="s">
        <x:v>157</x:v>
      </x:c>
    </x:row>
    <x:row r="29">
      <x:c r="A29" t="str">
        <x:v>allen_2007_ppg_clinical_measurement_review.pdf</x:v>
      </x:c>
      <x:c r="B29" t="str">
        <x:v>是</x:v>
      </x:c>
      <x:c r="C29" t="str">
        <x:v>否</x:v>
      </x:c>
      <x:c r="D29" t="str">
        <x:v>已下载待摘要</x:v>
      </x:c>
    </x:row>
    <x:row r="30">
      <x:c r="A30" t="str">
        <x:v>bent_2020_wearable_optical_hr_inaccuracy.pdf</x:v>
      </x:c>
      <x:c r="B30" t="str">
        <x:v>是</x:v>
      </x:c>
      <x:c r="C30" t="str">
        <x:v>否</x:v>
      </x:c>
      <x:c r="D30" t="str">
        <x:v>已下载待摘要</x:v>
      </x:c>
    </x:row>
    <x:row r="31">
      <x:c r="A31" t="str">
        <x:v>esh_2023_hypertension_guideline.pdf</x:v>
      </x:c>
      <x:c r="B31" t="str">
        <x:v>是</x:v>
      </x:c>
      <x:c r="C31" t="str">
        <x:v>是</x:v>
      </x:c>
      <x:c r="D31" t="str">
        <x:v>已下载待摘要</x:v>
      </x:c>
    </x:row>
    <x:row r="32">
      <x:c r="A32" t="str">
        <x:v>charlton_2022_wearable_ppg_cardiovascular_review.pdf</x:v>
      </x:c>
      <x:c r="B32" t="str">
        <x:v>是</x:v>
      </x:c>
      <x:c r="C32" t="str">
        <x:v>是</x:v>
      </x:c>
      <x:c r="D32" t="str">
        <x:v>已下载待摘要</x:v>
      </x:c>
    </x:row>
    <x:row r="33">
      <x:c r="A33" t="str">
        <x:v>chinese_2019_home_bp_monitoring_guideline.pdf</x:v>
      </x:c>
      <x:c r="B33" t="str">
        <x:v>是</x:v>
      </x:c>
      <x:c r="C33" t="str">
        <x:v>是</x:v>
      </x:c>
      <x:c r="D33" t="str">
        <x:v>已下载待摘要</x:v>
      </x:c>
    </x:row>
    <x:row r="34">
      <x:c r="A34" t="str">
        <x:v>aha_prevent_equations_circulation_2024.pdf</x:v>
      </x:c>
      <x:c r="B34" t="str">
        <x:v>是</x:v>
      </x:c>
      <x:c r="C34" t="str">
        <x:v>是</x:v>
      </x:c>
      <x:c r="D34" t="str">
        <x:v>已下载待摘要</x:v>
      </x:c>
    </x:row>
    <x:row r="35">
      <x:c r="A35" t="str">
        <x:v>ada_2026_standards_cvd_bp.pdf</x:v>
      </x:c>
      <x:c r="B35" t="str">
        <x:v>是</x:v>
      </x:c>
      <x:c r="C35" t="str">
        <x:v>否</x:v>
      </x:c>
      <x:c r="D35" t="str">
        <x:v>已下载待摘要</x:v>
      </x:c>
    </x:row>
    <x:row r="36">
      <x:c r="A36" t="str">
        <x:v>esc_2024_elevated_bp_hypertension_guideline.pdf</x:v>
      </x:c>
      <x:c r="B36" t="str">
        <x:v>否</x:v>
      </x:c>
      <x:c r="C36" t="str">
        <x:v>是</x:v>
      </x:c>
      <x:c r="D36" t="str">
        <x:v>已下载待摘要</x:v>
      </x:c>
    </x:row>
    <x:row r="37">
      <x:c r="A37" t="str">
        <x:v>esc_2024_elevated_bp_hypertension_doi_report.pdf</x:v>
      </x:c>
      <x:c r="B37" t="str">
        <x:v>否</x:v>
      </x:c>
      <x:c r="C37" t="str">
        <x:v>否</x:v>
      </x:c>
      <x:c r="D37" t="str">
        <x:v>supplemental; not for RAG unless cataloged</x:v>
      </x:c>
    </x:row>
    <x:row r="38">
      <x:c r="A38" t="str">
        <x:v>esc_2024_pharmacotherapy_what_is_new.pdf</x:v>
      </x:c>
      <x:c r="B38" t="str">
        <x:v>否</x:v>
      </x:c>
      <x:c r="C38" t="str">
        <x:v>否</x:v>
      </x:c>
      <x:c r="D38" t="str">
        <x:v>supplemental; not the ESC Essential Messages PDF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4.33203125" customWidth="1"/>
    <x:col min="2" max="2" width="95.6640625" customWidth="1"/>
  </x:cols>
  <x:sheetData>
    <x:row r="1" ht="20" customHeight="1">
      <x:c r="A1" s="10" t="s">
        <x:v>401</x:v>
      </x:c>
      <x:c r="B1" s="12" t="s">
        <x:v>402</x:v>
      </x:c>
    </x:row>
    <x:row r="2" ht="20" customHeight="1">
      <x:c r="A2" s="4" t="s">
        <x:v>74</x:v>
      </x:c>
      <x:c r="B2" s="6" t="s">
        <x:v>403</x:v>
      </x:c>
    </x:row>
    <x:row r="3" ht="20" customHeight="1">
      <x:c r="A3" s="4" t="s">
        <x:v>71</x:v>
      </x:c>
      <x:c r="B3" s="6" t="s">
        <x:v>404</x:v>
      </x:c>
    </x:row>
    <x:row r="4" ht="20" customHeight="1">
      <x:c r="A4" s="4" t="s">
        <x:v>405</x:v>
      </x:c>
      <x:c r="B4" s="6" t="s">
        <x:v>406</x:v>
      </x:c>
    </x:row>
    <x:row r="5" ht="20" customHeight="1">
      <x:c r="A5" s="4" t="s">
        <x:v>407</x:v>
      </x:c>
      <x:c r="B5" s="6" t="s">
        <x:v>408</x:v>
      </x:c>
    </x:row>
    <x:row r="6" ht="20" customHeight="1">
      <x:c r="A6" s="4" t="s">
        <x:v>409</x:v>
      </x:c>
      <x:c r="B6" s="6" t="s">
        <x:v>410</x:v>
      </x:c>
    </x:row>
    <x:row r="7" ht="20" customHeight="1">
      <x:c r="A7" s="4" t="s">
        <x:v>342</x:v>
      </x:c>
      <x:c r="B7" s="6" t="s">
        <x:v>411</x:v>
      </x:c>
    </x:row>
    <x:row r="8" ht="20" customHeight="1">
      <x:c r="A8" s="7" t="s">
        <x:v>412</x:v>
      </x:c>
      <x:c r="B8" s="9" t="s">
        <x:v>413</x:v>
      </x:c>
    </x:row>
  </x:sheetData>
  <x:pageMargins left="0.7" right="0.7" top="0.75" bottom="0.75" header="0.3" footer="0.3"/>
</x:worksheet>
</file>